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 Data\Data_analyst\Project_4_Supply_Chain\Datasets\"/>
    </mc:Choice>
  </mc:AlternateContent>
  <xr:revisionPtr revIDLastSave="0" documentId="13_ncr:1_{1C080A3C-EB12-4ACC-97A4-38EB2257E7A3}" xr6:coauthVersionLast="36" xr6:coauthVersionMax="36" xr10:uidLastSave="{00000000-0000-0000-0000-000000000000}"/>
  <bookViews>
    <workbookView xWindow="0" yWindow="0" windowWidth="19200" windowHeight="6230" xr2:uid="{00000000-000D-0000-FFFF-FFFF00000000}"/>
  </bookViews>
  <sheets>
    <sheet name="supply_chain_data" sheetId="2" r:id="rId1"/>
    <sheet name="raw_supply_chain_data" sheetId="1" r:id="rId2"/>
  </sheets>
  <definedNames>
    <definedName name="_xlnm._FilterDatabase" localSheetId="1" hidden="1">raw_supply_chain_data!$A$1:$R$501</definedName>
    <definedName name="ExternalData_1" localSheetId="0" hidden="1">supply_chain_data!$A$1:$W$501</definedName>
  </definedNames>
  <calcPr calcId="191029"/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L2" i="2"/>
  <c r="V2" i="2" s="1"/>
  <c r="L3" i="2"/>
  <c r="V3" i="2" s="1"/>
  <c r="L4" i="2"/>
  <c r="V4" i="2" s="1"/>
  <c r="L5" i="2"/>
  <c r="V5" i="2" s="1"/>
  <c r="L6" i="2"/>
  <c r="V6" i="2" s="1"/>
  <c r="L7" i="2"/>
  <c r="V7" i="2" s="1"/>
  <c r="L8" i="2"/>
  <c r="V8" i="2" s="1"/>
  <c r="L9" i="2"/>
  <c r="V9" i="2" s="1"/>
  <c r="L10" i="2"/>
  <c r="V10" i="2" s="1"/>
  <c r="L11" i="2"/>
  <c r="V11" i="2" s="1"/>
  <c r="L12" i="2"/>
  <c r="V12" i="2" s="1"/>
  <c r="L13" i="2"/>
  <c r="V13" i="2" s="1"/>
  <c r="L14" i="2"/>
  <c r="V14" i="2" s="1"/>
  <c r="L15" i="2"/>
  <c r="V15" i="2" s="1"/>
  <c r="L16" i="2"/>
  <c r="V16" i="2" s="1"/>
  <c r="L17" i="2"/>
  <c r="V17" i="2" s="1"/>
  <c r="L18" i="2"/>
  <c r="V18" i="2" s="1"/>
  <c r="L19" i="2"/>
  <c r="V19" i="2" s="1"/>
  <c r="L20" i="2"/>
  <c r="V20" i="2" s="1"/>
  <c r="L21" i="2"/>
  <c r="V21" i="2" s="1"/>
  <c r="L22" i="2"/>
  <c r="V22" i="2" s="1"/>
  <c r="L23" i="2"/>
  <c r="V23" i="2" s="1"/>
  <c r="L24" i="2"/>
  <c r="V24" i="2" s="1"/>
  <c r="L25" i="2"/>
  <c r="V25" i="2" s="1"/>
  <c r="L26" i="2"/>
  <c r="V26" i="2" s="1"/>
  <c r="L27" i="2"/>
  <c r="V27" i="2" s="1"/>
  <c r="L28" i="2"/>
  <c r="V28" i="2" s="1"/>
  <c r="L29" i="2"/>
  <c r="V29" i="2" s="1"/>
  <c r="L30" i="2"/>
  <c r="V30" i="2" s="1"/>
  <c r="L31" i="2"/>
  <c r="V31" i="2" s="1"/>
  <c r="L32" i="2"/>
  <c r="V32" i="2" s="1"/>
  <c r="L33" i="2"/>
  <c r="V33" i="2" s="1"/>
  <c r="L34" i="2"/>
  <c r="V34" i="2" s="1"/>
  <c r="L35" i="2"/>
  <c r="V35" i="2" s="1"/>
  <c r="L36" i="2"/>
  <c r="V36" i="2" s="1"/>
  <c r="L37" i="2"/>
  <c r="V37" i="2" s="1"/>
  <c r="L38" i="2"/>
  <c r="V38" i="2" s="1"/>
  <c r="L39" i="2"/>
  <c r="V39" i="2" s="1"/>
  <c r="L40" i="2"/>
  <c r="V40" i="2" s="1"/>
  <c r="L41" i="2"/>
  <c r="V41" i="2" s="1"/>
  <c r="L42" i="2"/>
  <c r="V42" i="2" s="1"/>
  <c r="L43" i="2"/>
  <c r="V43" i="2" s="1"/>
  <c r="L44" i="2"/>
  <c r="V44" i="2" s="1"/>
  <c r="L45" i="2"/>
  <c r="V45" i="2" s="1"/>
  <c r="L46" i="2"/>
  <c r="V46" i="2" s="1"/>
  <c r="L47" i="2"/>
  <c r="V47" i="2" s="1"/>
  <c r="L48" i="2"/>
  <c r="V48" i="2" s="1"/>
  <c r="L49" i="2"/>
  <c r="V49" i="2" s="1"/>
  <c r="L50" i="2"/>
  <c r="V50" i="2" s="1"/>
  <c r="L51" i="2"/>
  <c r="V51" i="2" s="1"/>
  <c r="L52" i="2"/>
  <c r="V52" i="2" s="1"/>
  <c r="L53" i="2"/>
  <c r="V53" i="2" s="1"/>
  <c r="L54" i="2"/>
  <c r="V54" i="2" s="1"/>
  <c r="L55" i="2"/>
  <c r="V55" i="2" s="1"/>
  <c r="L56" i="2"/>
  <c r="V56" i="2" s="1"/>
  <c r="L57" i="2"/>
  <c r="V57" i="2" s="1"/>
  <c r="L58" i="2"/>
  <c r="V58" i="2" s="1"/>
  <c r="L59" i="2"/>
  <c r="V59" i="2" s="1"/>
  <c r="L60" i="2"/>
  <c r="V60" i="2" s="1"/>
  <c r="L61" i="2"/>
  <c r="V61" i="2" s="1"/>
  <c r="L62" i="2"/>
  <c r="V62" i="2" s="1"/>
  <c r="L63" i="2"/>
  <c r="V63" i="2" s="1"/>
  <c r="L64" i="2"/>
  <c r="V64" i="2" s="1"/>
  <c r="L65" i="2"/>
  <c r="V65" i="2" s="1"/>
  <c r="L66" i="2"/>
  <c r="V66" i="2" s="1"/>
  <c r="L67" i="2"/>
  <c r="V67" i="2" s="1"/>
  <c r="L68" i="2"/>
  <c r="V68" i="2" s="1"/>
  <c r="L69" i="2"/>
  <c r="V69" i="2" s="1"/>
  <c r="L70" i="2"/>
  <c r="V70" i="2" s="1"/>
  <c r="L71" i="2"/>
  <c r="V71" i="2" s="1"/>
  <c r="L72" i="2"/>
  <c r="V72" i="2" s="1"/>
  <c r="L73" i="2"/>
  <c r="V73" i="2" s="1"/>
  <c r="L74" i="2"/>
  <c r="V74" i="2" s="1"/>
  <c r="L75" i="2"/>
  <c r="V75" i="2" s="1"/>
  <c r="L76" i="2"/>
  <c r="V76" i="2" s="1"/>
  <c r="L77" i="2"/>
  <c r="V77" i="2" s="1"/>
  <c r="L78" i="2"/>
  <c r="V78" i="2" s="1"/>
  <c r="L79" i="2"/>
  <c r="V79" i="2" s="1"/>
  <c r="L80" i="2"/>
  <c r="V80" i="2" s="1"/>
  <c r="L81" i="2"/>
  <c r="V81" i="2" s="1"/>
  <c r="L82" i="2"/>
  <c r="V82" i="2" s="1"/>
  <c r="L83" i="2"/>
  <c r="V83" i="2" s="1"/>
  <c r="L84" i="2"/>
  <c r="V84" i="2" s="1"/>
  <c r="L85" i="2"/>
  <c r="V85" i="2" s="1"/>
  <c r="L86" i="2"/>
  <c r="V86" i="2" s="1"/>
  <c r="L87" i="2"/>
  <c r="V87" i="2" s="1"/>
  <c r="L88" i="2"/>
  <c r="V88" i="2" s="1"/>
  <c r="L89" i="2"/>
  <c r="V89" i="2" s="1"/>
  <c r="L90" i="2"/>
  <c r="V90" i="2" s="1"/>
  <c r="L91" i="2"/>
  <c r="V91" i="2" s="1"/>
  <c r="L92" i="2"/>
  <c r="V92" i="2" s="1"/>
  <c r="L93" i="2"/>
  <c r="V93" i="2" s="1"/>
  <c r="L94" i="2"/>
  <c r="V94" i="2" s="1"/>
  <c r="L95" i="2"/>
  <c r="V95" i="2" s="1"/>
  <c r="L96" i="2"/>
  <c r="V96" i="2" s="1"/>
  <c r="L97" i="2"/>
  <c r="V97" i="2" s="1"/>
  <c r="L98" i="2"/>
  <c r="V98" i="2" s="1"/>
  <c r="L99" i="2"/>
  <c r="V99" i="2" s="1"/>
  <c r="L100" i="2"/>
  <c r="V100" i="2" s="1"/>
  <c r="L101" i="2"/>
  <c r="V101" i="2" s="1"/>
  <c r="L102" i="2"/>
  <c r="V102" i="2" s="1"/>
  <c r="L103" i="2"/>
  <c r="V103" i="2" s="1"/>
  <c r="L104" i="2"/>
  <c r="V104" i="2" s="1"/>
  <c r="L105" i="2"/>
  <c r="V105" i="2" s="1"/>
  <c r="L106" i="2"/>
  <c r="V106" i="2" s="1"/>
  <c r="L107" i="2"/>
  <c r="V107" i="2" s="1"/>
  <c r="L108" i="2"/>
  <c r="V108" i="2" s="1"/>
  <c r="L109" i="2"/>
  <c r="V109" i="2" s="1"/>
  <c r="L110" i="2"/>
  <c r="V110" i="2" s="1"/>
  <c r="L111" i="2"/>
  <c r="V111" i="2" s="1"/>
  <c r="L112" i="2"/>
  <c r="V112" i="2" s="1"/>
  <c r="L113" i="2"/>
  <c r="V113" i="2" s="1"/>
  <c r="L114" i="2"/>
  <c r="V114" i="2" s="1"/>
  <c r="L115" i="2"/>
  <c r="V115" i="2" s="1"/>
  <c r="L116" i="2"/>
  <c r="V116" i="2" s="1"/>
  <c r="L117" i="2"/>
  <c r="V117" i="2" s="1"/>
  <c r="L118" i="2"/>
  <c r="V118" i="2" s="1"/>
  <c r="L119" i="2"/>
  <c r="V119" i="2" s="1"/>
  <c r="L120" i="2"/>
  <c r="V120" i="2" s="1"/>
  <c r="L121" i="2"/>
  <c r="V121" i="2" s="1"/>
  <c r="L122" i="2"/>
  <c r="V122" i="2" s="1"/>
  <c r="L123" i="2"/>
  <c r="V123" i="2" s="1"/>
  <c r="L124" i="2"/>
  <c r="V124" i="2" s="1"/>
  <c r="L125" i="2"/>
  <c r="V125" i="2" s="1"/>
  <c r="L126" i="2"/>
  <c r="V126" i="2" s="1"/>
  <c r="L127" i="2"/>
  <c r="V127" i="2" s="1"/>
  <c r="L128" i="2"/>
  <c r="V128" i="2" s="1"/>
  <c r="L129" i="2"/>
  <c r="V129" i="2" s="1"/>
  <c r="L130" i="2"/>
  <c r="V130" i="2" s="1"/>
  <c r="L131" i="2"/>
  <c r="V131" i="2" s="1"/>
  <c r="L132" i="2"/>
  <c r="V132" i="2" s="1"/>
  <c r="L133" i="2"/>
  <c r="V133" i="2" s="1"/>
  <c r="L134" i="2"/>
  <c r="V134" i="2" s="1"/>
  <c r="L135" i="2"/>
  <c r="V135" i="2" s="1"/>
  <c r="L136" i="2"/>
  <c r="V136" i="2" s="1"/>
  <c r="L137" i="2"/>
  <c r="V137" i="2" s="1"/>
  <c r="L138" i="2"/>
  <c r="V138" i="2" s="1"/>
  <c r="L139" i="2"/>
  <c r="V139" i="2" s="1"/>
  <c r="L140" i="2"/>
  <c r="V140" i="2" s="1"/>
  <c r="L141" i="2"/>
  <c r="V141" i="2" s="1"/>
  <c r="L142" i="2"/>
  <c r="V142" i="2" s="1"/>
  <c r="L143" i="2"/>
  <c r="V143" i="2" s="1"/>
  <c r="L144" i="2"/>
  <c r="V144" i="2" s="1"/>
  <c r="L145" i="2"/>
  <c r="V145" i="2" s="1"/>
  <c r="L146" i="2"/>
  <c r="V146" i="2" s="1"/>
  <c r="L147" i="2"/>
  <c r="V147" i="2" s="1"/>
  <c r="L148" i="2"/>
  <c r="V148" i="2" s="1"/>
  <c r="L149" i="2"/>
  <c r="V149" i="2" s="1"/>
  <c r="L150" i="2"/>
  <c r="V150" i="2" s="1"/>
  <c r="L151" i="2"/>
  <c r="V151" i="2" s="1"/>
  <c r="L152" i="2"/>
  <c r="V152" i="2" s="1"/>
  <c r="L153" i="2"/>
  <c r="V153" i="2" s="1"/>
  <c r="L154" i="2"/>
  <c r="V154" i="2" s="1"/>
  <c r="L155" i="2"/>
  <c r="V155" i="2" s="1"/>
  <c r="L156" i="2"/>
  <c r="V156" i="2" s="1"/>
  <c r="L157" i="2"/>
  <c r="V157" i="2" s="1"/>
  <c r="L158" i="2"/>
  <c r="V158" i="2" s="1"/>
  <c r="L159" i="2"/>
  <c r="V159" i="2" s="1"/>
  <c r="L160" i="2"/>
  <c r="V160" i="2" s="1"/>
  <c r="L161" i="2"/>
  <c r="V161" i="2" s="1"/>
  <c r="L162" i="2"/>
  <c r="V162" i="2" s="1"/>
  <c r="L163" i="2"/>
  <c r="V163" i="2" s="1"/>
  <c r="L164" i="2"/>
  <c r="V164" i="2" s="1"/>
  <c r="L165" i="2"/>
  <c r="V165" i="2" s="1"/>
  <c r="L166" i="2"/>
  <c r="V166" i="2" s="1"/>
  <c r="L167" i="2"/>
  <c r="V167" i="2" s="1"/>
  <c r="L168" i="2"/>
  <c r="V168" i="2" s="1"/>
  <c r="L169" i="2"/>
  <c r="V169" i="2" s="1"/>
  <c r="L170" i="2"/>
  <c r="V170" i="2" s="1"/>
  <c r="L171" i="2"/>
  <c r="V171" i="2" s="1"/>
  <c r="L172" i="2"/>
  <c r="V172" i="2" s="1"/>
  <c r="L173" i="2"/>
  <c r="V173" i="2" s="1"/>
  <c r="L174" i="2"/>
  <c r="V174" i="2" s="1"/>
  <c r="L175" i="2"/>
  <c r="V175" i="2" s="1"/>
  <c r="L176" i="2"/>
  <c r="V176" i="2" s="1"/>
  <c r="L177" i="2"/>
  <c r="V177" i="2" s="1"/>
  <c r="L178" i="2"/>
  <c r="V178" i="2" s="1"/>
  <c r="L179" i="2"/>
  <c r="V179" i="2" s="1"/>
  <c r="L180" i="2"/>
  <c r="V180" i="2" s="1"/>
  <c r="L181" i="2"/>
  <c r="V181" i="2" s="1"/>
  <c r="L182" i="2"/>
  <c r="V182" i="2" s="1"/>
  <c r="L183" i="2"/>
  <c r="V183" i="2" s="1"/>
  <c r="L184" i="2"/>
  <c r="V184" i="2" s="1"/>
  <c r="L185" i="2"/>
  <c r="V185" i="2" s="1"/>
  <c r="L186" i="2"/>
  <c r="V186" i="2" s="1"/>
  <c r="L187" i="2"/>
  <c r="V187" i="2" s="1"/>
  <c r="L188" i="2"/>
  <c r="V188" i="2" s="1"/>
  <c r="L189" i="2"/>
  <c r="V189" i="2" s="1"/>
  <c r="L190" i="2"/>
  <c r="V190" i="2" s="1"/>
  <c r="L191" i="2"/>
  <c r="V191" i="2" s="1"/>
  <c r="L192" i="2"/>
  <c r="V192" i="2" s="1"/>
  <c r="L193" i="2"/>
  <c r="V193" i="2" s="1"/>
  <c r="L194" i="2"/>
  <c r="V194" i="2" s="1"/>
  <c r="L195" i="2"/>
  <c r="V195" i="2" s="1"/>
  <c r="L196" i="2"/>
  <c r="V196" i="2" s="1"/>
  <c r="L197" i="2"/>
  <c r="V197" i="2" s="1"/>
  <c r="L198" i="2"/>
  <c r="V198" i="2" s="1"/>
  <c r="L199" i="2"/>
  <c r="V199" i="2" s="1"/>
  <c r="L200" i="2"/>
  <c r="V200" i="2" s="1"/>
  <c r="L201" i="2"/>
  <c r="V201" i="2" s="1"/>
  <c r="L202" i="2"/>
  <c r="V202" i="2" s="1"/>
  <c r="L203" i="2"/>
  <c r="V203" i="2" s="1"/>
  <c r="L204" i="2"/>
  <c r="V204" i="2" s="1"/>
  <c r="L205" i="2"/>
  <c r="V205" i="2" s="1"/>
  <c r="L206" i="2"/>
  <c r="V206" i="2" s="1"/>
  <c r="L207" i="2"/>
  <c r="V207" i="2" s="1"/>
  <c r="L208" i="2"/>
  <c r="V208" i="2" s="1"/>
  <c r="L209" i="2"/>
  <c r="V209" i="2" s="1"/>
  <c r="L210" i="2"/>
  <c r="V210" i="2" s="1"/>
  <c r="L211" i="2"/>
  <c r="V211" i="2" s="1"/>
  <c r="L212" i="2"/>
  <c r="V212" i="2" s="1"/>
  <c r="L213" i="2"/>
  <c r="V213" i="2" s="1"/>
  <c r="L214" i="2"/>
  <c r="V214" i="2" s="1"/>
  <c r="L215" i="2"/>
  <c r="V215" i="2" s="1"/>
  <c r="L216" i="2"/>
  <c r="V216" i="2" s="1"/>
  <c r="L217" i="2"/>
  <c r="V217" i="2" s="1"/>
  <c r="L218" i="2"/>
  <c r="V218" i="2" s="1"/>
  <c r="L219" i="2"/>
  <c r="V219" i="2" s="1"/>
  <c r="L220" i="2"/>
  <c r="V220" i="2" s="1"/>
  <c r="L221" i="2"/>
  <c r="V221" i="2" s="1"/>
  <c r="L222" i="2"/>
  <c r="V222" i="2" s="1"/>
  <c r="L223" i="2"/>
  <c r="V223" i="2" s="1"/>
  <c r="L224" i="2"/>
  <c r="V224" i="2" s="1"/>
  <c r="L225" i="2"/>
  <c r="V225" i="2" s="1"/>
  <c r="L226" i="2"/>
  <c r="V226" i="2" s="1"/>
  <c r="L227" i="2"/>
  <c r="V227" i="2" s="1"/>
  <c r="L228" i="2"/>
  <c r="V228" i="2" s="1"/>
  <c r="L229" i="2"/>
  <c r="V229" i="2" s="1"/>
  <c r="L230" i="2"/>
  <c r="V230" i="2" s="1"/>
  <c r="L231" i="2"/>
  <c r="V231" i="2" s="1"/>
  <c r="L232" i="2"/>
  <c r="V232" i="2" s="1"/>
  <c r="L233" i="2"/>
  <c r="V233" i="2" s="1"/>
  <c r="L234" i="2"/>
  <c r="V234" i="2" s="1"/>
  <c r="L235" i="2"/>
  <c r="V235" i="2" s="1"/>
  <c r="L236" i="2"/>
  <c r="V236" i="2" s="1"/>
  <c r="L237" i="2"/>
  <c r="V237" i="2" s="1"/>
  <c r="L238" i="2"/>
  <c r="V238" i="2" s="1"/>
  <c r="L239" i="2"/>
  <c r="V239" i="2" s="1"/>
  <c r="L240" i="2"/>
  <c r="V240" i="2" s="1"/>
  <c r="L241" i="2"/>
  <c r="V241" i="2" s="1"/>
  <c r="L242" i="2"/>
  <c r="V242" i="2" s="1"/>
  <c r="L243" i="2"/>
  <c r="V243" i="2" s="1"/>
  <c r="L244" i="2"/>
  <c r="V244" i="2" s="1"/>
  <c r="L245" i="2"/>
  <c r="V245" i="2" s="1"/>
  <c r="L246" i="2"/>
  <c r="V246" i="2" s="1"/>
  <c r="L247" i="2"/>
  <c r="V247" i="2" s="1"/>
  <c r="L248" i="2"/>
  <c r="V248" i="2" s="1"/>
  <c r="L249" i="2"/>
  <c r="V249" i="2" s="1"/>
  <c r="L250" i="2"/>
  <c r="V250" i="2" s="1"/>
  <c r="L251" i="2"/>
  <c r="V251" i="2" s="1"/>
  <c r="L252" i="2"/>
  <c r="V252" i="2" s="1"/>
  <c r="L253" i="2"/>
  <c r="V253" i="2" s="1"/>
  <c r="L254" i="2"/>
  <c r="V254" i="2" s="1"/>
  <c r="L255" i="2"/>
  <c r="V255" i="2" s="1"/>
  <c r="L256" i="2"/>
  <c r="V256" i="2" s="1"/>
  <c r="L257" i="2"/>
  <c r="V257" i="2" s="1"/>
  <c r="L258" i="2"/>
  <c r="V258" i="2" s="1"/>
  <c r="L259" i="2"/>
  <c r="V259" i="2" s="1"/>
  <c r="L260" i="2"/>
  <c r="V260" i="2" s="1"/>
  <c r="L261" i="2"/>
  <c r="V261" i="2" s="1"/>
  <c r="L262" i="2"/>
  <c r="V262" i="2" s="1"/>
  <c r="L263" i="2"/>
  <c r="V263" i="2" s="1"/>
  <c r="L264" i="2"/>
  <c r="V264" i="2" s="1"/>
  <c r="L265" i="2"/>
  <c r="V265" i="2" s="1"/>
  <c r="L266" i="2"/>
  <c r="V266" i="2" s="1"/>
  <c r="L267" i="2"/>
  <c r="V267" i="2" s="1"/>
  <c r="L268" i="2"/>
  <c r="V268" i="2" s="1"/>
  <c r="L269" i="2"/>
  <c r="V269" i="2" s="1"/>
  <c r="L270" i="2"/>
  <c r="V270" i="2" s="1"/>
  <c r="L271" i="2"/>
  <c r="V271" i="2" s="1"/>
  <c r="L272" i="2"/>
  <c r="V272" i="2" s="1"/>
  <c r="L273" i="2"/>
  <c r="V273" i="2" s="1"/>
  <c r="L274" i="2"/>
  <c r="V274" i="2" s="1"/>
  <c r="L275" i="2"/>
  <c r="V275" i="2" s="1"/>
  <c r="L276" i="2"/>
  <c r="V276" i="2" s="1"/>
  <c r="L277" i="2"/>
  <c r="V277" i="2" s="1"/>
  <c r="L278" i="2"/>
  <c r="V278" i="2" s="1"/>
  <c r="L279" i="2"/>
  <c r="V279" i="2" s="1"/>
  <c r="L280" i="2"/>
  <c r="V280" i="2" s="1"/>
  <c r="L281" i="2"/>
  <c r="V281" i="2" s="1"/>
  <c r="L282" i="2"/>
  <c r="V282" i="2" s="1"/>
  <c r="L283" i="2"/>
  <c r="V283" i="2" s="1"/>
  <c r="L284" i="2"/>
  <c r="V284" i="2" s="1"/>
  <c r="L285" i="2"/>
  <c r="V285" i="2" s="1"/>
  <c r="L286" i="2"/>
  <c r="V286" i="2" s="1"/>
  <c r="L287" i="2"/>
  <c r="V287" i="2" s="1"/>
  <c r="L288" i="2"/>
  <c r="V288" i="2" s="1"/>
  <c r="L289" i="2"/>
  <c r="V289" i="2" s="1"/>
  <c r="L290" i="2"/>
  <c r="V290" i="2" s="1"/>
  <c r="L291" i="2"/>
  <c r="V291" i="2" s="1"/>
  <c r="L292" i="2"/>
  <c r="V292" i="2" s="1"/>
  <c r="L293" i="2"/>
  <c r="V293" i="2" s="1"/>
  <c r="L294" i="2"/>
  <c r="V294" i="2" s="1"/>
  <c r="L295" i="2"/>
  <c r="V295" i="2" s="1"/>
  <c r="L296" i="2"/>
  <c r="V296" i="2" s="1"/>
  <c r="L297" i="2"/>
  <c r="V297" i="2" s="1"/>
  <c r="L298" i="2"/>
  <c r="V298" i="2" s="1"/>
  <c r="L299" i="2"/>
  <c r="V299" i="2" s="1"/>
  <c r="L300" i="2"/>
  <c r="V300" i="2" s="1"/>
  <c r="L301" i="2"/>
  <c r="V301" i="2" s="1"/>
  <c r="L302" i="2"/>
  <c r="V302" i="2" s="1"/>
  <c r="L303" i="2"/>
  <c r="V303" i="2" s="1"/>
  <c r="L304" i="2"/>
  <c r="V304" i="2" s="1"/>
  <c r="L305" i="2"/>
  <c r="V305" i="2" s="1"/>
  <c r="L306" i="2"/>
  <c r="V306" i="2" s="1"/>
  <c r="L307" i="2"/>
  <c r="V307" i="2" s="1"/>
  <c r="L308" i="2"/>
  <c r="V308" i="2" s="1"/>
  <c r="L309" i="2"/>
  <c r="V309" i="2" s="1"/>
  <c r="L310" i="2"/>
  <c r="V310" i="2" s="1"/>
  <c r="L311" i="2"/>
  <c r="V311" i="2" s="1"/>
  <c r="L312" i="2"/>
  <c r="V312" i="2" s="1"/>
  <c r="L313" i="2"/>
  <c r="V313" i="2" s="1"/>
  <c r="L314" i="2"/>
  <c r="V314" i="2" s="1"/>
  <c r="L315" i="2"/>
  <c r="V315" i="2" s="1"/>
  <c r="L316" i="2"/>
  <c r="V316" i="2" s="1"/>
  <c r="L317" i="2"/>
  <c r="V317" i="2" s="1"/>
  <c r="L318" i="2"/>
  <c r="V318" i="2" s="1"/>
  <c r="L319" i="2"/>
  <c r="V319" i="2" s="1"/>
  <c r="L320" i="2"/>
  <c r="V320" i="2" s="1"/>
  <c r="L321" i="2"/>
  <c r="V321" i="2" s="1"/>
  <c r="L322" i="2"/>
  <c r="V322" i="2" s="1"/>
  <c r="L323" i="2"/>
  <c r="V323" i="2" s="1"/>
  <c r="L324" i="2"/>
  <c r="V324" i="2" s="1"/>
  <c r="L325" i="2"/>
  <c r="V325" i="2" s="1"/>
  <c r="L326" i="2"/>
  <c r="V326" i="2" s="1"/>
  <c r="L327" i="2"/>
  <c r="V327" i="2" s="1"/>
  <c r="L328" i="2"/>
  <c r="V328" i="2" s="1"/>
  <c r="L329" i="2"/>
  <c r="V329" i="2" s="1"/>
  <c r="L330" i="2"/>
  <c r="V330" i="2" s="1"/>
  <c r="L331" i="2"/>
  <c r="V331" i="2" s="1"/>
  <c r="L332" i="2"/>
  <c r="V332" i="2" s="1"/>
  <c r="L333" i="2"/>
  <c r="V333" i="2" s="1"/>
  <c r="L334" i="2"/>
  <c r="V334" i="2" s="1"/>
  <c r="L335" i="2"/>
  <c r="V335" i="2" s="1"/>
  <c r="L336" i="2"/>
  <c r="V336" i="2" s="1"/>
  <c r="L337" i="2"/>
  <c r="V337" i="2" s="1"/>
  <c r="L338" i="2"/>
  <c r="V338" i="2" s="1"/>
  <c r="L339" i="2"/>
  <c r="V339" i="2" s="1"/>
  <c r="L340" i="2"/>
  <c r="V340" i="2" s="1"/>
  <c r="L341" i="2"/>
  <c r="V341" i="2" s="1"/>
  <c r="L342" i="2"/>
  <c r="V342" i="2" s="1"/>
  <c r="L343" i="2"/>
  <c r="V343" i="2" s="1"/>
  <c r="L344" i="2"/>
  <c r="V344" i="2" s="1"/>
  <c r="L345" i="2"/>
  <c r="V345" i="2" s="1"/>
  <c r="L346" i="2"/>
  <c r="V346" i="2" s="1"/>
  <c r="L347" i="2"/>
  <c r="V347" i="2" s="1"/>
  <c r="L348" i="2"/>
  <c r="V348" i="2" s="1"/>
  <c r="L349" i="2"/>
  <c r="V349" i="2" s="1"/>
  <c r="L350" i="2"/>
  <c r="V350" i="2" s="1"/>
  <c r="L351" i="2"/>
  <c r="V351" i="2" s="1"/>
  <c r="L352" i="2"/>
  <c r="V352" i="2" s="1"/>
  <c r="L353" i="2"/>
  <c r="V353" i="2" s="1"/>
  <c r="L354" i="2"/>
  <c r="V354" i="2" s="1"/>
  <c r="L355" i="2"/>
  <c r="V355" i="2" s="1"/>
  <c r="L356" i="2"/>
  <c r="V356" i="2" s="1"/>
  <c r="L357" i="2"/>
  <c r="V357" i="2" s="1"/>
  <c r="L358" i="2"/>
  <c r="V358" i="2" s="1"/>
  <c r="L359" i="2"/>
  <c r="V359" i="2" s="1"/>
  <c r="L360" i="2"/>
  <c r="V360" i="2" s="1"/>
  <c r="L361" i="2"/>
  <c r="V361" i="2" s="1"/>
  <c r="L362" i="2"/>
  <c r="V362" i="2" s="1"/>
  <c r="L363" i="2"/>
  <c r="V363" i="2" s="1"/>
  <c r="L364" i="2"/>
  <c r="V364" i="2" s="1"/>
  <c r="L365" i="2"/>
  <c r="V365" i="2" s="1"/>
  <c r="L366" i="2"/>
  <c r="V366" i="2" s="1"/>
  <c r="L367" i="2"/>
  <c r="V367" i="2" s="1"/>
  <c r="L368" i="2"/>
  <c r="V368" i="2" s="1"/>
  <c r="L369" i="2"/>
  <c r="V369" i="2" s="1"/>
  <c r="L370" i="2"/>
  <c r="V370" i="2" s="1"/>
  <c r="L371" i="2"/>
  <c r="V371" i="2" s="1"/>
  <c r="L372" i="2"/>
  <c r="V372" i="2" s="1"/>
  <c r="L373" i="2"/>
  <c r="V373" i="2" s="1"/>
  <c r="L374" i="2"/>
  <c r="V374" i="2" s="1"/>
  <c r="L375" i="2"/>
  <c r="V375" i="2" s="1"/>
  <c r="L376" i="2"/>
  <c r="V376" i="2" s="1"/>
  <c r="L377" i="2"/>
  <c r="V377" i="2" s="1"/>
  <c r="L378" i="2"/>
  <c r="V378" i="2" s="1"/>
  <c r="L379" i="2"/>
  <c r="V379" i="2" s="1"/>
  <c r="L380" i="2"/>
  <c r="V380" i="2" s="1"/>
  <c r="L381" i="2"/>
  <c r="V381" i="2" s="1"/>
  <c r="L382" i="2"/>
  <c r="V382" i="2" s="1"/>
  <c r="L383" i="2"/>
  <c r="V383" i="2" s="1"/>
  <c r="L384" i="2"/>
  <c r="V384" i="2" s="1"/>
  <c r="L385" i="2"/>
  <c r="V385" i="2" s="1"/>
  <c r="L386" i="2"/>
  <c r="V386" i="2" s="1"/>
  <c r="L387" i="2"/>
  <c r="V387" i="2" s="1"/>
  <c r="L388" i="2"/>
  <c r="V388" i="2" s="1"/>
  <c r="L389" i="2"/>
  <c r="V389" i="2" s="1"/>
  <c r="L390" i="2"/>
  <c r="V390" i="2" s="1"/>
  <c r="L391" i="2"/>
  <c r="V391" i="2" s="1"/>
  <c r="L392" i="2"/>
  <c r="V392" i="2" s="1"/>
  <c r="L393" i="2"/>
  <c r="V393" i="2" s="1"/>
  <c r="L394" i="2"/>
  <c r="V394" i="2" s="1"/>
  <c r="L395" i="2"/>
  <c r="V395" i="2" s="1"/>
  <c r="L396" i="2"/>
  <c r="V396" i="2" s="1"/>
  <c r="L397" i="2"/>
  <c r="V397" i="2" s="1"/>
  <c r="L398" i="2"/>
  <c r="V398" i="2" s="1"/>
  <c r="L399" i="2"/>
  <c r="V399" i="2" s="1"/>
  <c r="L400" i="2"/>
  <c r="V400" i="2" s="1"/>
  <c r="L401" i="2"/>
  <c r="V401" i="2" s="1"/>
  <c r="L402" i="2"/>
  <c r="V402" i="2" s="1"/>
  <c r="L403" i="2"/>
  <c r="V403" i="2" s="1"/>
  <c r="L404" i="2"/>
  <c r="V404" i="2" s="1"/>
  <c r="L405" i="2"/>
  <c r="V405" i="2" s="1"/>
  <c r="L406" i="2"/>
  <c r="V406" i="2" s="1"/>
  <c r="L407" i="2"/>
  <c r="V407" i="2" s="1"/>
  <c r="L408" i="2"/>
  <c r="V408" i="2" s="1"/>
  <c r="L409" i="2"/>
  <c r="V409" i="2" s="1"/>
  <c r="L410" i="2"/>
  <c r="V410" i="2" s="1"/>
  <c r="L411" i="2"/>
  <c r="V411" i="2" s="1"/>
  <c r="L412" i="2"/>
  <c r="V412" i="2" s="1"/>
  <c r="L413" i="2"/>
  <c r="V413" i="2" s="1"/>
  <c r="L414" i="2"/>
  <c r="V414" i="2" s="1"/>
  <c r="L415" i="2"/>
  <c r="V415" i="2" s="1"/>
  <c r="L416" i="2"/>
  <c r="V416" i="2" s="1"/>
  <c r="L417" i="2"/>
  <c r="V417" i="2" s="1"/>
  <c r="L418" i="2"/>
  <c r="V418" i="2" s="1"/>
  <c r="L419" i="2"/>
  <c r="V419" i="2" s="1"/>
  <c r="L420" i="2"/>
  <c r="V420" i="2" s="1"/>
  <c r="L421" i="2"/>
  <c r="V421" i="2" s="1"/>
  <c r="L422" i="2"/>
  <c r="V422" i="2" s="1"/>
  <c r="L423" i="2"/>
  <c r="V423" i="2" s="1"/>
  <c r="L424" i="2"/>
  <c r="V424" i="2" s="1"/>
  <c r="L425" i="2"/>
  <c r="V425" i="2" s="1"/>
  <c r="L426" i="2"/>
  <c r="V426" i="2" s="1"/>
  <c r="L427" i="2"/>
  <c r="V427" i="2" s="1"/>
  <c r="L428" i="2"/>
  <c r="V428" i="2" s="1"/>
  <c r="L429" i="2"/>
  <c r="V429" i="2" s="1"/>
  <c r="L430" i="2"/>
  <c r="V430" i="2" s="1"/>
  <c r="L431" i="2"/>
  <c r="V431" i="2" s="1"/>
  <c r="L432" i="2"/>
  <c r="V432" i="2" s="1"/>
  <c r="L433" i="2"/>
  <c r="V433" i="2" s="1"/>
  <c r="L434" i="2"/>
  <c r="V434" i="2" s="1"/>
  <c r="L435" i="2"/>
  <c r="V435" i="2" s="1"/>
  <c r="L436" i="2"/>
  <c r="V436" i="2" s="1"/>
  <c r="L437" i="2"/>
  <c r="V437" i="2" s="1"/>
  <c r="L438" i="2"/>
  <c r="V438" i="2" s="1"/>
  <c r="L439" i="2"/>
  <c r="V439" i="2" s="1"/>
  <c r="L440" i="2"/>
  <c r="V440" i="2" s="1"/>
  <c r="L441" i="2"/>
  <c r="V441" i="2" s="1"/>
  <c r="L442" i="2"/>
  <c r="V442" i="2" s="1"/>
  <c r="L443" i="2"/>
  <c r="V443" i="2" s="1"/>
  <c r="L444" i="2"/>
  <c r="V444" i="2" s="1"/>
  <c r="L445" i="2"/>
  <c r="V445" i="2" s="1"/>
  <c r="L446" i="2"/>
  <c r="V446" i="2" s="1"/>
  <c r="L447" i="2"/>
  <c r="V447" i="2" s="1"/>
  <c r="L448" i="2"/>
  <c r="V448" i="2" s="1"/>
  <c r="L449" i="2"/>
  <c r="V449" i="2" s="1"/>
  <c r="L450" i="2"/>
  <c r="V450" i="2" s="1"/>
  <c r="L451" i="2"/>
  <c r="V451" i="2" s="1"/>
  <c r="L452" i="2"/>
  <c r="V452" i="2" s="1"/>
  <c r="L453" i="2"/>
  <c r="V453" i="2" s="1"/>
  <c r="L454" i="2"/>
  <c r="V454" i="2" s="1"/>
  <c r="L455" i="2"/>
  <c r="V455" i="2" s="1"/>
  <c r="L456" i="2"/>
  <c r="V456" i="2" s="1"/>
  <c r="L457" i="2"/>
  <c r="V457" i="2" s="1"/>
  <c r="L458" i="2"/>
  <c r="V458" i="2" s="1"/>
  <c r="L459" i="2"/>
  <c r="V459" i="2" s="1"/>
  <c r="L460" i="2"/>
  <c r="V460" i="2" s="1"/>
  <c r="L461" i="2"/>
  <c r="V461" i="2" s="1"/>
  <c r="L462" i="2"/>
  <c r="V462" i="2" s="1"/>
  <c r="L463" i="2"/>
  <c r="V463" i="2" s="1"/>
  <c r="L464" i="2"/>
  <c r="V464" i="2" s="1"/>
  <c r="L465" i="2"/>
  <c r="V465" i="2" s="1"/>
  <c r="L466" i="2"/>
  <c r="V466" i="2" s="1"/>
  <c r="L467" i="2"/>
  <c r="V467" i="2" s="1"/>
  <c r="L468" i="2"/>
  <c r="V468" i="2" s="1"/>
  <c r="L469" i="2"/>
  <c r="V469" i="2" s="1"/>
  <c r="L470" i="2"/>
  <c r="V470" i="2" s="1"/>
  <c r="L471" i="2"/>
  <c r="V471" i="2" s="1"/>
  <c r="L472" i="2"/>
  <c r="V472" i="2" s="1"/>
  <c r="L473" i="2"/>
  <c r="V473" i="2" s="1"/>
  <c r="L474" i="2"/>
  <c r="V474" i="2" s="1"/>
  <c r="L475" i="2"/>
  <c r="V475" i="2" s="1"/>
  <c r="L476" i="2"/>
  <c r="V476" i="2" s="1"/>
  <c r="L477" i="2"/>
  <c r="V477" i="2" s="1"/>
  <c r="L478" i="2"/>
  <c r="V478" i="2" s="1"/>
  <c r="L479" i="2"/>
  <c r="V479" i="2" s="1"/>
  <c r="L480" i="2"/>
  <c r="V480" i="2" s="1"/>
  <c r="L481" i="2"/>
  <c r="V481" i="2" s="1"/>
  <c r="L482" i="2"/>
  <c r="V482" i="2" s="1"/>
  <c r="L483" i="2"/>
  <c r="V483" i="2" s="1"/>
  <c r="L484" i="2"/>
  <c r="V484" i="2" s="1"/>
  <c r="L485" i="2"/>
  <c r="V485" i="2" s="1"/>
  <c r="L486" i="2"/>
  <c r="V486" i="2" s="1"/>
  <c r="L487" i="2"/>
  <c r="V487" i="2" s="1"/>
  <c r="L488" i="2"/>
  <c r="V488" i="2" s="1"/>
  <c r="L489" i="2"/>
  <c r="V489" i="2" s="1"/>
  <c r="L490" i="2"/>
  <c r="V490" i="2" s="1"/>
  <c r="L491" i="2"/>
  <c r="V491" i="2" s="1"/>
  <c r="L492" i="2"/>
  <c r="V492" i="2" s="1"/>
  <c r="L493" i="2"/>
  <c r="V493" i="2" s="1"/>
  <c r="L494" i="2"/>
  <c r="V494" i="2" s="1"/>
  <c r="L495" i="2"/>
  <c r="V495" i="2" s="1"/>
  <c r="L496" i="2"/>
  <c r="V496" i="2" s="1"/>
  <c r="L497" i="2"/>
  <c r="V497" i="2" s="1"/>
  <c r="L498" i="2"/>
  <c r="V498" i="2" s="1"/>
  <c r="L499" i="2"/>
  <c r="V499" i="2" s="1"/>
  <c r="L500" i="2"/>
  <c r="V500" i="2" s="1"/>
  <c r="L501" i="2"/>
  <c r="V5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supply_chain_data" description="Connection to the 'supply_chain_data' query in the workbook." type="5" refreshedVersion="6" background="1" saveData="1">
    <dbPr connection="Provider=Microsoft.Mashup.OleDb.1;Data Source=$Workbook$;Location=supply_chain_data;Extended Properties=&quot;&quot;" command="SELECT * FROM [supply_chain_data]"/>
  </connection>
</connections>
</file>

<file path=xl/sharedStrings.xml><?xml version="1.0" encoding="utf-8"?>
<sst xmlns="http://schemas.openxmlformats.org/spreadsheetml/2006/main" count="7041" uniqueCount="54">
  <si>
    <t>Product ID</t>
  </si>
  <si>
    <t>Product Name</t>
  </si>
  <si>
    <t>Category</t>
  </si>
  <si>
    <t>Country</t>
  </si>
  <si>
    <t>City / Warehouse</t>
  </si>
  <si>
    <t>Supplier</t>
  </si>
  <si>
    <t>Date</t>
  </si>
  <si>
    <t>Opening Stock</t>
  </si>
  <si>
    <t>Units Sold</t>
  </si>
  <si>
    <t>Units Received</t>
  </si>
  <si>
    <t>Closing Stock</t>
  </si>
  <si>
    <t>Reorder Level</t>
  </si>
  <si>
    <t>Unit Cost</t>
  </si>
  <si>
    <t>Lead Time (days)</t>
  </si>
  <si>
    <t>Damaged Units</t>
  </si>
  <si>
    <t>Stock Status</t>
  </si>
  <si>
    <t>Forecast Demand</t>
  </si>
  <si>
    <t>Inventory Value</t>
  </si>
  <si>
    <t>P005</t>
  </si>
  <si>
    <t>Keyboard</t>
  </si>
  <si>
    <t>Electronics</t>
  </si>
  <si>
    <t>India</t>
  </si>
  <si>
    <t>Mumbai</t>
  </si>
  <si>
    <t>Supplier A</t>
  </si>
  <si>
    <t>Healthy</t>
  </si>
  <si>
    <t>P001</t>
  </si>
  <si>
    <t>Laptop</t>
  </si>
  <si>
    <t>Delhi</t>
  </si>
  <si>
    <t>P003</t>
  </si>
  <si>
    <t>Tablet</t>
  </si>
  <si>
    <t>Supplier B</t>
  </si>
  <si>
    <t>USA</t>
  </si>
  <si>
    <t>Los Angeles</t>
  </si>
  <si>
    <t>Supplier C</t>
  </si>
  <si>
    <t>P004</t>
  </si>
  <si>
    <t>Monitor</t>
  </si>
  <si>
    <t>Low</t>
  </si>
  <si>
    <t>Thailand</t>
  </si>
  <si>
    <t>Bangkok</t>
  </si>
  <si>
    <t>Germany</t>
  </si>
  <si>
    <t>Berlin</t>
  </si>
  <si>
    <t>P002</t>
  </si>
  <si>
    <t>Phone</t>
  </si>
  <si>
    <t>China</t>
  </si>
  <si>
    <t>Shanghai</t>
  </si>
  <si>
    <t>Munich</t>
  </si>
  <si>
    <t>Chiang Mai</t>
  </si>
  <si>
    <t>New York</t>
  </si>
  <si>
    <t>Shenzhen</t>
  </si>
  <si>
    <t>Stock Status(old)</t>
  </si>
  <si>
    <t>Closing Stock Old</t>
  </si>
  <si>
    <t>O stock greater than sold</t>
  </si>
  <si>
    <t>Days of Inventory</t>
  </si>
  <si>
    <t>Forecast accurancy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</si>
</sst>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22" fontId="0" fillId="0" borderId="0" xfId="0" applyNumberFormat="1"/>
    <xf numFmtId="1" fontId="0" fillId="0" borderId="0" xfId="0" applyNumberFormat="1"/>
    <xf numFmtId="9" fontId="0" fillId="0" borderId="0" xfId="2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7">
    <dxf>
      <numFmt numFmtId="0" formatCode="General"/>
    </dxf>
    <dxf>
      <numFmt numFmtId="1" formatCode="0"/>
    </dxf>
    <dxf>
      <numFmt numFmtId="13" formatCode="0%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27" formatCode="yyyy/mm/d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24">
    <queryTableFields count="23">
      <queryTableField id="1" name="Product ID" tableColumnId="1"/>
      <queryTableField id="2" name="Product Name" tableColumnId="2"/>
      <queryTableField id="3" name="Category" tableColumnId="3"/>
      <queryTableField id="4" name="Country" tableColumnId="4"/>
      <queryTableField id="5" name="City / Warehouse" tableColumnId="5"/>
      <queryTableField id="6" name="Supplier" tableColumnId="6"/>
      <queryTableField id="7" name="Date" tableColumnId="7"/>
      <queryTableField id="8" name="Opening Stock" tableColumnId="8"/>
      <queryTableField id="9" name="Units Sold" tableColumnId="9"/>
      <queryTableField id="21" dataBound="0" tableColumnId="21"/>
      <queryTableField id="10" name="Units Received" tableColumnId="10"/>
      <queryTableField id="20" dataBound="0" tableColumnId="20"/>
      <queryTableField id="11" name="Closing Stock" tableColumnId="11"/>
      <queryTableField id="12" name="Reorder Level" tableColumnId="12"/>
      <queryTableField id="13" name="Unit Cost" tableColumnId="13"/>
      <queryTableField id="14" name="Lead Time (days)" tableColumnId="14"/>
      <queryTableField id="15" name="Damaged Units" tableColumnId="15"/>
      <queryTableField id="19" dataBound="0" tableColumnId="19"/>
      <queryTableField id="16" name="Stock Status" tableColumnId="16"/>
      <queryTableField id="17" name="Forecast Demand" tableColumnId="17"/>
      <queryTableField id="23" dataBound="0" tableColumnId="23"/>
      <queryTableField id="22" dataBound="0" tableColumnId="22"/>
      <queryTableField id="18" name="Inventory Valu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y_chain_data" displayName="supply_chain_data" ref="A1:W501" tableType="queryTable" totalsRowShown="0">
  <autoFilter ref="A1:W501" xr:uid="{00000000-0009-0000-0100-000001000000}">
    <filterColumn colId="17">
      <filters>
        <filter val="Overstock"/>
      </filters>
    </filterColumn>
  </autoFilter>
  <tableColumns count="23">
    <tableColumn id="1" xr3:uid="{00000000-0010-0000-0000-000001000000}" uniqueName="1" name="Product ID" queryTableFieldId="1"/>
    <tableColumn id="2" xr3:uid="{00000000-0010-0000-0000-000002000000}" uniqueName="2" name="Product Name" queryTableFieldId="2"/>
    <tableColumn id="3" xr3:uid="{00000000-0010-0000-0000-000003000000}" uniqueName="3" name="Category" queryTableFieldId="3"/>
    <tableColumn id="4" xr3:uid="{00000000-0010-0000-0000-000004000000}" uniqueName="4" name="Country" queryTableFieldId="4"/>
    <tableColumn id="5" xr3:uid="{00000000-0010-0000-0000-000005000000}" uniqueName="5" name="City / Warehouse" queryTableFieldId="5"/>
    <tableColumn id="6" xr3:uid="{00000000-0010-0000-0000-000006000000}" uniqueName="6" name="Supplier" queryTableFieldId="6"/>
    <tableColumn id="7" xr3:uid="{00000000-0010-0000-0000-000007000000}" uniqueName="7" name="Date" queryTableFieldId="7" dataDxfId="6"/>
    <tableColumn id="8" xr3:uid="{00000000-0010-0000-0000-000008000000}" uniqueName="8" name="Opening Stock" queryTableFieldId="8"/>
    <tableColumn id="9" xr3:uid="{00000000-0010-0000-0000-000009000000}" uniqueName="9" name="Units Sold" queryTableFieldId="9"/>
    <tableColumn id="21" xr3:uid="{00000000-0010-0000-0000-000015000000}" uniqueName="21" name="O stock greater than sold" queryTableFieldId="21" dataDxfId="5">
      <calculatedColumnFormula>IF(supply_chain_data[[#This Row],[Units Sold]]&gt;supply_chain_data[[#This Row],[Opening Stock]],"Yes","No")</calculatedColumnFormula>
    </tableColumn>
    <tableColumn id="10" xr3:uid="{00000000-0010-0000-0000-00000A000000}" uniqueName="10" name="Units Received" queryTableFieldId="10"/>
    <tableColumn id="20" xr3:uid="{00000000-0010-0000-0000-000014000000}" uniqueName="20" name="Closing Stock" queryTableFieldId="20" dataDxfId="4">
      <calculatedColumnFormula>supply_chain_data[[#This Row],[Opening Stock]]+supply_chain_data[[#This Row],[Units Received]]-supply_chain_data[[#This Row],[Units Sold]]</calculatedColumnFormula>
    </tableColumn>
    <tableColumn id="11" xr3:uid="{00000000-0010-0000-0000-00000B000000}" uniqueName="11" name="Closing Stock Old" queryTableFieldId="11"/>
    <tableColumn id="12" xr3:uid="{00000000-0010-0000-0000-00000C000000}" uniqueName="12" name="Reorder Level" queryTableFieldId="12"/>
    <tableColumn id="13" xr3:uid="{00000000-0010-0000-0000-00000D000000}" uniqueName="13" name="Unit Cost" queryTableFieldId="13" dataDxfId="3" dataCellStyle="Comma"/>
    <tableColumn id="14" xr3:uid="{00000000-0010-0000-0000-00000E000000}" uniqueName="14" name="Lead Time (days)" queryTableFieldId="14"/>
    <tableColumn id="15" xr3:uid="{00000000-0010-0000-0000-00000F000000}" uniqueName="15" name="Damaged Units" queryTableFieldId="15"/>
    <tableColumn id="19" xr3:uid="{00000000-0010-0000-0000-000013000000}" uniqueName="19" name="Stock Status" queryTableFieldId="19" dataDxfId="0">
      <calculatedColumnFormula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calculatedColumnFormula>
    </tableColumn>
    <tableColumn id="16" xr3:uid="{00000000-0010-0000-0000-000010000000}" uniqueName="16" name="Stock Status(old)" queryTableFieldId="16"/>
    <tableColumn id="17" xr3:uid="{00000000-0010-0000-0000-000011000000}" uniqueName="17" name="Forecast Demand" queryTableFieldId="17"/>
    <tableColumn id="23" xr3:uid="{00000000-0010-0000-0000-000017000000}" uniqueName="23" name="Forecast accurancy" queryTableFieldId="23" dataDxfId="2" dataCellStyle="Percent">
      <calculatedColumnFormula>MAX(0,MIN(1,1-ABS(supply_chain_data[[#This Row],[Forecast Demand]]-supply_chain_data[[#This Row],[Units Sold]])/supply_chain_data[[#This Row],[Forecast Demand]]))</calculatedColumnFormula>
    </tableColumn>
    <tableColumn id="22" xr3:uid="{00000000-0010-0000-0000-000016000000}" uniqueName="22" name="Days of Inventory" queryTableFieldId="22" dataDxfId="1">
      <calculatedColumnFormula>supply_chain_data[[#This Row],[Closing Stock]]/supply_chain_data[[#This Row],[Forecast Demand]]</calculatedColumnFormula>
    </tableColumn>
    <tableColumn id="18" xr3:uid="{00000000-0010-0000-0000-000012000000}" uniqueName="18" name="Inventory Value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1"/>
  <sheetViews>
    <sheetView tabSelected="1" topLeftCell="K1" workbookViewId="0">
      <selection activeCell="R1" sqref="R1:T1048576"/>
    </sheetView>
  </sheetViews>
  <sheetFormatPr defaultRowHeight="14.5" x14ac:dyDescent="0.35"/>
  <cols>
    <col min="1" max="1" width="12" bestFit="1" customWidth="1"/>
    <col min="2" max="2" width="15.1796875" bestFit="1" customWidth="1"/>
    <col min="3" max="3" width="10.54296875" bestFit="1" customWidth="1"/>
    <col min="4" max="4" width="9.81640625" bestFit="1" customWidth="1"/>
    <col min="5" max="5" width="17.7265625" bestFit="1" customWidth="1"/>
    <col min="6" max="6" width="9.90625" bestFit="1" customWidth="1"/>
    <col min="7" max="7" width="14.1796875" bestFit="1" customWidth="1"/>
    <col min="8" max="8" width="15.1796875" bestFit="1" customWidth="1"/>
    <col min="9" max="9" width="11.453125" bestFit="1" customWidth="1"/>
    <col min="10" max="10" width="11.453125" hidden="1" customWidth="1"/>
    <col min="11" max="11" width="15.36328125" bestFit="1" customWidth="1"/>
    <col min="12" max="12" width="15.36328125" customWidth="1"/>
    <col min="13" max="13" width="14" hidden="1" customWidth="1"/>
    <col min="14" max="14" width="14.453125" bestFit="1" customWidth="1"/>
    <col min="15" max="15" width="10.81640625" style="2" bestFit="1" customWidth="1"/>
    <col min="16" max="16" width="17.1796875" bestFit="1" customWidth="1"/>
    <col min="17" max="17" width="15.90625" bestFit="1" customWidth="1"/>
    <col min="18" max="18" width="13.36328125" bestFit="1" customWidth="1"/>
    <col min="19" max="19" width="17.81640625" hidden="1" customWidth="1"/>
    <col min="20" max="20" width="16.453125" bestFit="1" customWidth="1"/>
    <col min="21" max="21" width="16.453125" style="5" customWidth="1"/>
    <col min="22" max="22" width="16.453125" style="4" customWidth="1"/>
    <col min="23" max="23" width="9.08984375" style="2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51</v>
      </c>
      <c r="K1" t="s">
        <v>9</v>
      </c>
      <c r="L1" t="s">
        <v>10</v>
      </c>
      <c r="M1" t="s">
        <v>50</v>
      </c>
      <c r="N1" t="s">
        <v>11</v>
      </c>
      <c r="O1" s="2" t="s">
        <v>12</v>
      </c>
      <c r="P1" t="s">
        <v>13</v>
      </c>
      <c r="Q1" t="s">
        <v>14</v>
      </c>
      <c r="R1" t="s">
        <v>15</v>
      </c>
      <c r="S1" t="s">
        <v>49</v>
      </c>
      <c r="T1" t="s">
        <v>16</v>
      </c>
      <c r="U1" s="5" t="s">
        <v>53</v>
      </c>
      <c r="V1" s="4" t="s">
        <v>52</v>
      </c>
      <c r="W1" s="2" t="s">
        <v>17</v>
      </c>
    </row>
    <row r="2" spans="1:23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3">
        <v>45292</v>
      </c>
      <c r="H2">
        <v>287</v>
      </c>
      <c r="I2">
        <v>14</v>
      </c>
      <c r="J2" t="str">
        <f>IF(supply_chain_data[[#This Row],[Units Sold]]&gt;supply_chain_data[[#This Row],[Opening Stock]],"Yes","No")</f>
        <v>No</v>
      </c>
      <c r="K2">
        <v>3</v>
      </c>
      <c r="L2">
        <f>supply_chain_data[[#This Row],[Opening Stock]]+supply_chain_data[[#This Row],[Units Received]]-supply_chain_data[[#This Row],[Units Sold]]</f>
        <v>276</v>
      </c>
      <c r="M2">
        <v>276</v>
      </c>
      <c r="N2">
        <v>45</v>
      </c>
      <c r="O2" s="2">
        <v>601</v>
      </c>
      <c r="P2">
        <v>15</v>
      </c>
      <c r="Q2">
        <v>5</v>
      </c>
      <c r="R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" t="s">
        <v>24</v>
      </c>
      <c r="T2">
        <v>67</v>
      </c>
      <c r="U2" s="5">
        <f>MAX(0,MIN(1,1-ABS(supply_chain_data[[#This Row],[Forecast Demand]]-supply_chain_data[[#This Row],[Units Sold]])/supply_chain_data[[#This Row],[Forecast Demand]]))</f>
        <v>0.20895522388059706</v>
      </c>
      <c r="V2" s="4">
        <f>supply_chain_data[[#This Row],[Closing Stock]]/supply_chain_data[[#This Row],[Forecast Demand]]</f>
        <v>4.1194029850746272</v>
      </c>
      <c r="W2">
        <v>165876</v>
      </c>
    </row>
    <row r="3" spans="1:23" x14ac:dyDescent="0.35">
      <c r="A3" t="s">
        <v>25</v>
      </c>
      <c r="B3" t="s">
        <v>26</v>
      </c>
      <c r="C3" t="s">
        <v>20</v>
      </c>
      <c r="D3" t="s">
        <v>21</v>
      </c>
      <c r="E3" t="s">
        <v>27</v>
      </c>
      <c r="F3" t="s">
        <v>23</v>
      </c>
      <c r="G3" s="3">
        <v>45293</v>
      </c>
      <c r="H3">
        <v>246</v>
      </c>
      <c r="I3">
        <v>37</v>
      </c>
      <c r="J3" t="str">
        <f>IF(supply_chain_data[[#This Row],[Units Sold]]&gt;supply_chain_data[[#This Row],[Opening Stock]],"Yes","No")</f>
        <v>No</v>
      </c>
      <c r="K3">
        <v>61</v>
      </c>
      <c r="L3">
        <f>supply_chain_data[[#This Row],[Opening Stock]]+supply_chain_data[[#This Row],[Units Received]]-supply_chain_data[[#This Row],[Units Sold]]</f>
        <v>270</v>
      </c>
      <c r="M3">
        <v>270</v>
      </c>
      <c r="N3">
        <v>49</v>
      </c>
      <c r="O3" s="2">
        <v>376</v>
      </c>
      <c r="P3">
        <v>4</v>
      </c>
      <c r="Q3">
        <v>10</v>
      </c>
      <c r="R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" t="s">
        <v>24</v>
      </c>
      <c r="T3">
        <v>17</v>
      </c>
      <c r="U3" s="5">
        <f>MAX(0,MIN(1,1-ABS(supply_chain_data[[#This Row],[Forecast Demand]]-supply_chain_data[[#This Row],[Units Sold]])/supply_chain_data[[#This Row],[Forecast Demand]]))</f>
        <v>0</v>
      </c>
      <c r="V3" s="4">
        <f>supply_chain_data[[#This Row],[Closing Stock]]/supply_chain_data[[#This Row],[Forecast Demand]]</f>
        <v>15.882352941176471</v>
      </c>
      <c r="W3">
        <v>101520</v>
      </c>
    </row>
    <row r="4" spans="1:23" x14ac:dyDescent="0.35">
      <c r="A4" t="s">
        <v>28</v>
      </c>
      <c r="B4" t="s">
        <v>29</v>
      </c>
      <c r="C4" t="s">
        <v>20</v>
      </c>
      <c r="D4" t="s">
        <v>21</v>
      </c>
      <c r="E4" t="s">
        <v>27</v>
      </c>
      <c r="F4" t="s">
        <v>30</v>
      </c>
      <c r="G4" s="3">
        <v>45294</v>
      </c>
      <c r="H4">
        <v>132</v>
      </c>
      <c r="I4">
        <v>38</v>
      </c>
      <c r="J4" t="str">
        <f>IF(supply_chain_data[[#This Row],[Units Sold]]&gt;supply_chain_data[[#This Row],[Opening Stock]],"Yes","No")</f>
        <v>No</v>
      </c>
      <c r="K4">
        <v>67</v>
      </c>
      <c r="L4">
        <f>supply_chain_data[[#This Row],[Opening Stock]]+supply_chain_data[[#This Row],[Units Received]]-supply_chain_data[[#This Row],[Units Sold]]</f>
        <v>161</v>
      </c>
      <c r="M4">
        <v>161</v>
      </c>
      <c r="N4">
        <v>100</v>
      </c>
      <c r="O4" s="2">
        <v>587</v>
      </c>
      <c r="P4">
        <v>12</v>
      </c>
      <c r="Q4">
        <v>10</v>
      </c>
      <c r="R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" t="s">
        <v>24</v>
      </c>
      <c r="T4">
        <v>22</v>
      </c>
      <c r="U4" s="5">
        <f>MAX(0,MIN(1,1-ABS(supply_chain_data[[#This Row],[Forecast Demand]]-supply_chain_data[[#This Row],[Units Sold]])/supply_chain_data[[#This Row],[Forecast Demand]]))</f>
        <v>0.27272727272727271</v>
      </c>
      <c r="V4" s="4">
        <f>supply_chain_data[[#This Row],[Closing Stock]]/supply_chain_data[[#This Row],[Forecast Demand]]</f>
        <v>7.3181818181818183</v>
      </c>
      <c r="W4">
        <v>94507</v>
      </c>
    </row>
    <row r="5" spans="1:23" x14ac:dyDescent="0.35">
      <c r="A5" t="s">
        <v>18</v>
      </c>
      <c r="B5" t="s">
        <v>19</v>
      </c>
      <c r="C5" t="s">
        <v>20</v>
      </c>
      <c r="D5" t="s">
        <v>31</v>
      </c>
      <c r="E5" t="s">
        <v>32</v>
      </c>
      <c r="F5" t="s">
        <v>33</v>
      </c>
      <c r="G5" s="3">
        <v>45295</v>
      </c>
      <c r="H5">
        <v>257</v>
      </c>
      <c r="I5">
        <v>32</v>
      </c>
      <c r="J5" t="str">
        <f>IF(supply_chain_data[[#This Row],[Units Sold]]&gt;supply_chain_data[[#This Row],[Opening Stock]],"Yes","No")</f>
        <v>No</v>
      </c>
      <c r="K5">
        <v>59</v>
      </c>
      <c r="L5">
        <f>supply_chain_data[[#This Row],[Opening Stock]]+supply_chain_data[[#This Row],[Units Received]]-supply_chain_data[[#This Row],[Units Sold]]</f>
        <v>284</v>
      </c>
      <c r="M5">
        <v>284</v>
      </c>
      <c r="N5">
        <v>49</v>
      </c>
      <c r="O5" s="2">
        <v>1366</v>
      </c>
      <c r="P5">
        <v>13</v>
      </c>
      <c r="Q5">
        <v>8</v>
      </c>
      <c r="R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5" t="s">
        <v>24</v>
      </c>
      <c r="T5">
        <v>26</v>
      </c>
      <c r="U5" s="5">
        <f>MAX(0,MIN(1,1-ABS(supply_chain_data[[#This Row],[Forecast Demand]]-supply_chain_data[[#This Row],[Units Sold]])/supply_chain_data[[#This Row],[Forecast Demand]]))</f>
        <v>0.76923076923076916</v>
      </c>
      <c r="V5" s="4">
        <f>supply_chain_data[[#This Row],[Closing Stock]]/supply_chain_data[[#This Row],[Forecast Demand]]</f>
        <v>10.923076923076923</v>
      </c>
      <c r="W5">
        <v>387944</v>
      </c>
    </row>
    <row r="6" spans="1:23" x14ac:dyDescent="0.35">
      <c r="A6" t="s">
        <v>34</v>
      </c>
      <c r="B6" t="s">
        <v>35</v>
      </c>
      <c r="C6" t="s">
        <v>20</v>
      </c>
      <c r="D6" t="s">
        <v>21</v>
      </c>
      <c r="E6" t="s">
        <v>22</v>
      </c>
      <c r="F6" t="s">
        <v>33</v>
      </c>
      <c r="G6" s="3">
        <v>45296</v>
      </c>
      <c r="H6">
        <v>158</v>
      </c>
      <c r="I6">
        <v>32</v>
      </c>
      <c r="J6" t="str">
        <f>IF(supply_chain_data[[#This Row],[Units Sold]]&gt;supply_chain_data[[#This Row],[Opening Stock]],"Yes","No")</f>
        <v>No</v>
      </c>
      <c r="K6">
        <v>37</v>
      </c>
      <c r="L6">
        <f>supply_chain_data[[#This Row],[Opening Stock]]+supply_chain_data[[#This Row],[Units Received]]-supply_chain_data[[#This Row],[Units Sold]]</f>
        <v>163</v>
      </c>
      <c r="M6">
        <v>163</v>
      </c>
      <c r="N6">
        <v>55</v>
      </c>
      <c r="O6" s="2">
        <v>1009</v>
      </c>
      <c r="P6">
        <v>7</v>
      </c>
      <c r="Q6">
        <v>7</v>
      </c>
      <c r="R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6" t="s">
        <v>24</v>
      </c>
      <c r="T6">
        <v>28</v>
      </c>
      <c r="U6" s="5">
        <f>MAX(0,MIN(1,1-ABS(supply_chain_data[[#This Row],[Forecast Demand]]-supply_chain_data[[#This Row],[Units Sold]])/supply_chain_data[[#This Row],[Forecast Demand]]))</f>
        <v>0.85714285714285721</v>
      </c>
      <c r="V6" s="4">
        <f>supply_chain_data[[#This Row],[Closing Stock]]/supply_chain_data[[#This Row],[Forecast Demand]]</f>
        <v>5.8214285714285712</v>
      </c>
      <c r="W6">
        <v>164467</v>
      </c>
    </row>
    <row r="7" spans="1:23" hidden="1" x14ac:dyDescent="0.35">
      <c r="A7" t="s">
        <v>25</v>
      </c>
      <c r="B7" t="s">
        <v>26</v>
      </c>
      <c r="C7" t="s">
        <v>20</v>
      </c>
      <c r="D7" t="s">
        <v>31</v>
      </c>
      <c r="E7" t="s">
        <v>32</v>
      </c>
      <c r="F7" t="s">
        <v>30</v>
      </c>
      <c r="G7" s="3">
        <v>45297</v>
      </c>
      <c r="H7">
        <v>51</v>
      </c>
      <c r="I7">
        <v>48</v>
      </c>
      <c r="J7" t="str">
        <f>IF(supply_chain_data[[#This Row],[Units Sold]]&gt;supply_chain_data[[#This Row],[Opening Stock]],"Yes","No")</f>
        <v>No</v>
      </c>
      <c r="K7">
        <v>2</v>
      </c>
      <c r="L7">
        <f>supply_chain_data[[#This Row],[Opening Stock]]+supply_chain_data[[#This Row],[Units Received]]-supply_chain_data[[#This Row],[Units Sold]]</f>
        <v>5</v>
      </c>
      <c r="M7">
        <v>5</v>
      </c>
      <c r="N7">
        <v>68</v>
      </c>
      <c r="O7" s="2">
        <v>1386</v>
      </c>
      <c r="P7">
        <v>15</v>
      </c>
      <c r="Q7">
        <v>6</v>
      </c>
      <c r="R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7" t="s">
        <v>36</v>
      </c>
      <c r="T7">
        <v>55</v>
      </c>
      <c r="U7" s="5">
        <f>MAX(0,MIN(1,1-ABS(supply_chain_data[[#This Row],[Forecast Demand]]-supply_chain_data[[#This Row],[Units Sold]])/supply_chain_data[[#This Row],[Forecast Demand]]))</f>
        <v>0.8727272727272728</v>
      </c>
      <c r="V7" s="4">
        <f>supply_chain_data[[#This Row],[Closing Stock]]/supply_chain_data[[#This Row],[Forecast Demand]]</f>
        <v>9.0909090909090912E-2</v>
      </c>
      <c r="W7">
        <v>6930</v>
      </c>
    </row>
    <row r="8" spans="1:23" hidden="1" x14ac:dyDescent="0.35">
      <c r="A8" t="s">
        <v>18</v>
      </c>
      <c r="B8" t="s">
        <v>19</v>
      </c>
      <c r="C8" t="s">
        <v>20</v>
      </c>
      <c r="D8" t="s">
        <v>37</v>
      </c>
      <c r="E8" t="s">
        <v>38</v>
      </c>
      <c r="F8" t="s">
        <v>23</v>
      </c>
      <c r="G8" s="3">
        <v>45298</v>
      </c>
      <c r="H8">
        <v>87</v>
      </c>
      <c r="I8">
        <v>50</v>
      </c>
      <c r="J8" t="str">
        <f>IF(supply_chain_data[[#This Row],[Units Sold]]&gt;supply_chain_data[[#This Row],[Opening Stock]],"Yes","No")</f>
        <v>No</v>
      </c>
      <c r="K8">
        <v>21</v>
      </c>
      <c r="L8">
        <f>supply_chain_data[[#This Row],[Opening Stock]]+supply_chain_data[[#This Row],[Units Received]]-supply_chain_data[[#This Row],[Units Sold]]</f>
        <v>58</v>
      </c>
      <c r="M8">
        <v>58</v>
      </c>
      <c r="N8">
        <v>89</v>
      </c>
      <c r="O8" s="2">
        <v>713</v>
      </c>
      <c r="P8">
        <v>7</v>
      </c>
      <c r="Q8">
        <v>4</v>
      </c>
      <c r="R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8" t="s">
        <v>36</v>
      </c>
      <c r="T8">
        <v>38</v>
      </c>
      <c r="U8" s="5">
        <f>MAX(0,MIN(1,1-ABS(supply_chain_data[[#This Row],[Forecast Demand]]-supply_chain_data[[#This Row],[Units Sold]])/supply_chain_data[[#This Row],[Forecast Demand]]))</f>
        <v>0.68421052631578949</v>
      </c>
      <c r="V8" s="4">
        <f>supply_chain_data[[#This Row],[Closing Stock]]/supply_chain_data[[#This Row],[Forecast Demand]]</f>
        <v>1.5263157894736843</v>
      </c>
      <c r="W8">
        <v>41354</v>
      </c>
    </row>
    <row r="9" spans="1:23" hidden="1" x14ac:dyDescent="0.35">
      <c r="A9" t="s">
        <v>34</v>
      </c>
      <c r="B9" t="s">
        <v>35</v>
      </c>
      <c r="C9" t="s">
        <v>20</v>
      </c>
      <c r="D9" t="s">
        <v>39</v>
      </c>
      <c r="E9" t="s">
        <v>40</v>
      </c>
      <c r="F9" t="s">
        <v>23</v>
      </c>
      <c r="G9" s="3">
        <v>45299</v>
      </c>
      <c r="H9">
        <v>211</v>
      </c>
      <c r="I9">
        <v>5</v>
      </c>
      <c r="J9" t="str">
        <f>IF(supply_chain_data[[#This Row],[Units Sold]]&gt;supply_chain_data[[#This Row],[Opening Stock]],"Yes","No")</f>
        <v>No</v>
      </c>
      <c r="K9">
        <v>17</v>
      </c>
      <c r="L9">
        <f>supply_chain_data[[#This Row],[Opening Stock]]+supply_chain_data[[#This Row],[Units Received]]-supply_chain_data[[#This Row],[Units Sold]]</f>
        <v>223</v>
      </c>
      <c r="M9">
        <v>223</v>
      </c>
      <c r="N9">
        <v>41</v>
      </c>
      <c r="O9" s="2">
        <v>1058</v>
      </c>
      <c r="P9">
        <v>8</v>
      </c>
      <c r="Q9">
        <v>2</v>
      </c>
      <c r="R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9" t="s">
        <v>24</v>
      </c>
      <c r="T9">
        <v>70</v>
      </c>
      <c r="U9" s="5">
        <f>MAX(0,MIN(1,1-ABS(supply_chain_data[[#This Row],[Forecast Demand]]-supply_chain_data[[#This Row],[Units Sold]])/supply_chain_data[[#This Row],[Forecast Demand]]))</f>
        <v>7.1428571428571397E-2</v>
      </c>
      <c r="V9" s="4">
        <f>supply_chain_data[[#This Row],[Closing Stock]]/supply_chain_data[[#This Row],[Forecast Demand]]</f>
        <v>3.1857142857142855</v>
      </c>
      <c r="W9">
        <v>235934</v>
      </c>
    </row>
    <row r="10" spans="1:23" x14ac:dyDescent="0.35">
      <c r="A10" t="s">
        <v>41</v>
      </c>
      <c r="B10" t="s">
        <v>42</v>
      </c>
      <c r="C10" t="s">
        <v>20</v>
      </c>
      <c r="D10" t="s">
        <v>43</v>
      </c>
      <c r="E10" t="s">
        <v>44</v>
      </c>
      <c r="F10" t="s">
        <v>23</v>
      </c>
      <c r="G10" s="3">
        <v>45300</v>
      </c>
      <c r="H10">
        <v>113</v>
      </c>
      <c r="I10">
        <v>18</v>
      </c>
      <c r="J10" t="str">
        <f>IF(supply_chain_data[[#This Row],[Units Sold]]&gt;supply_chain_data[[#This Row],[Opening Stock]],"Yes","No")</f>
        <v>No</v>
      </c>
      <c r="K10">
        <v>64</v>
      </c>
      <c r="L10">
        <f>supply_chain_data[[#This Row],[Opening Stock]]+supply_chain_data[[#This Row],[Units Received]]-supply_chain_data[[#This Row],[Units Sold]]</f>
        <v>159</v>
      </c>
      <c r="M10">
        <v>159</v>
      </c>
      <c r="N10">
        <v>43</v>
      </c>
      <c r="O10" s="2">
        <v>712</v>
      </c>
      <c r="P10">
        <v>14</v>
      </c>
      <c r="Q10">
        <v>7</v>
      </c>
      <c r="R1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0" t="s">
        <v>24</v>
      </c>
      <c r="T10">
        <v>22</v>
      </c>
      <c r="U10" s="5">
        <f>MAX(0,MIN(1,1-ABS(supply_chain_data[[#This Row],[Forecast Demand]]-supply_chain_data[[#This Row],[Units Sold]])/supply_chain_data[[#This Row],[Forecast Demand]]))</f>
        <v>0.81818181818181812</v>
      </c>
      <c r="V10" s="4">
        <f>supply_chain_data[[#This Row],[Closing Stock]]/supply_chain_data[[#This Row],[Forecast Demand]]</f>
        <v>7.2272727272727275</v>
      </c>
      <c r="W10">
        <v>113208</v>
      </c>
    </row>
    <row r="11" spans="1:23" hidden="1" x14ac:dyDescent="0.35">
      <c r="A11" t="s">
        <v>34</v>
      </c>
      <c r="B11" t="s">
        <v>35</v>
      </c>
      <c r="C11" t="s">
        <v>20</v>
      </c>
      <c r="D11" t="s">
        <v>37</v>
      </c>
      <c r="E11" t="s">
        <v>38</v>
      </c>
      <c r="F11" t="s">
        <v>23</v>
      </c>
      <c r="G11" s="3">
        <v>45301</v>
      </c>
      <c r="H11">
        <v>265</v>
      </c>
      <c r="I11">
        <v>36</v>
      </c>
      <c r="J11" t="str">
        <f>IF(supply_chain_data[[#This Row],[Units Sold]]&gt;supply_chain_data[[#This Row],[Opening Stock]],"Yes","No")</f>
        <v>No</v>
      </c>
      <c r="K11">
        <v>1</v>
      </c>
      <c r="L11">
        <f>supply_chain_data[[#This Row],[Opening Stock]]+supply_chain_data[[#This Row],[Units Received]]-supply_chain_data[[#This Row],[Units Sold]]</f>
        <v>230</v>
      </c>
      <c r="M11">
        <v>230</v>
      </c>
      <c r="N11">
        <v>68</v>
      </c>
      <c r="O11" s="2">
        <v>265</v>
      </c>
      <c r="P11">
        <v>10</v>
      </c>
      <c r="Q11">
        <v>5</v>
      </c>
      <c r="R1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1" t="s">
        <v>24</v>
      </c>
      <c r="T11">
        <v>70</v>
      </c>
      <c r="U11" s="5">
        <f>MAX(0,MIN(1,1-ABS(supply_chain_data[[#This Row],[Forecast Demand]]-supply_chain_data[[#This Row],[Units Sold]])/supply_chain_data[[#This Row],[Forecast Demand]]))</f>
        <v>0.51428571428571423</v>
      </c>
      <c r="V11" s="4">
        <f>supply_chain_data[[#This Row],[Closing Stock]]/supply_chain_data[[#This Row],[Forecast Demand]]</f>
        <v>3.2857142857142856</v>
      </c>
      <c r="W11">
        <v>60950</v>
      </c>
    </row>
    <row r="12" spans="1:23" x14ac:dyDescent="0.35">
      <c r="A12" t="s">
        <v>18</v>
      </c>
      <c r="B12" t="s">
        <v>19</v>
      </c>
      <c r="C12" t="s">
        <v>20</v>
      </c>
      <c r="D12" t="s">
        <v>39</v>
      </c>
      <c r="E12" t="s">
        <v>45</v>
      </c>
      <c r="F12" t="s">
        <v>30</v>
      </c>
      <c r="G12" s="3">
        <v>45302</v>
      </c>
      <c r="H12">
        <v>232</v>
      </c>
      <c r="I12">
        <v>44</v>
      </c>
      <c r="J12" t="str">
        <f>IF(supply_chain_data[[#This Row],[Units Sold]]&gt;supply_chain_data[[#This Row],[Opening Stock]],"Yes","No")</f>
        <v>No</v>
      </c>
      <c r="K12">
        <v>80</v>
      </c>
      <c r="L12">
        <f>supply_chain_data[[#This Row],[Opening Stock]]+supply_chain_data[[#This Row],[Units Received]]-supply_chain_data[[#This Row],[Units Sold]]</f>
        <v>268</v>
      </c>
      <c r="M12">
        <v>268</v>
      </c>
      <c r="N12">
        <v>60</v>
      </c>
      <c r="O12" s="2">
        <v>1178</v>
      </c>
      <c r="P12">
        <v>8</v>
      </c>
      <c r="Q12">
        <v>2</v>
      </c>
      <c r="R1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2" t="s">
        <v>24</v>
      </c>
      <c r="T12">
        <v>29</v>
      </c>
      <c r="U12" s="5">
        <f>MAX(0,MIN(1,1-ABS(supply_chain_data[[#This Row],[Forecast Demand]]-supply_chain_data[[#This Row],[Units Sold]])/supply_chain_data[[#This Row],[Forecast Demand]]))</f>
        <v>0.48275862068965514</v>
      </c>
      <c r="V12" s="4">
        <f>supply_chain_data[[#This Row],[Closing Stock]]/supply_chain_data[[#This Row],[Forecast Demand]]</f>
        <v>9.2413793103448274</v>
      </c>
      <c r="W12">
        <v>315704</v>
      </c>
    </row>
    <row r="13" spans="1:23" hidden="1" x14ac:dyDescent="0.3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s="3">
        <v>45303</v>
      </c>
      <c r="H13">
        <v>70</v>
      </c>
      <c r="I13">
        <v>22</v>
      </c>
      <c r="J13" t="str">
        <f>IF(supply_chain_data[[#This Row],[Units Sold]]&gt;supply_chain_data[[#This Row],[Opening Stock]],"Yes","No")</f>
        <v>No</v>
      </c>
      <c r="K13">
        <v>0</v>
      </c>
      <c r="L13">
        <f>supply_chain_data[[#This Row],[Opening Stock]]+supply_chain_data[[#This Row],[Units Received]]-supply_chain_data[[#This Row],[Units Sold]]</f>
        <v>48</v>
      </c>
      <c r="M13">
        <v>48</v>
      </c>
      <c r="N13">
        <v>46</v>
      </c>
      <c r="O13" s="2">
        <v>1147</v>
      </c>
      <c r="P13">
        <v>5</v>
      </c>
      <c r="Q13">
        <v>10</v>
      </c>
      <c r="R1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13" t="s">
        <v>24</v>
      </c>
      <c r="T13">
        <v>40</v>
      </c>
      <c r="U13" s="5">
        <f>MAX(0,MIN(1,1-ABS(supply_chain_data[[#This Row],[Forecast Demand]]-supply_chain_data[[#This Row],[Units Sold]])/supply_chain_data[[#This Row],[Forecast Demand]]))</f>
        <v>0.55000000000000004</v>
      </c>
      <c r="V13" s="4">
        <f>supply_chain_data[[#This Row],[Closing Stock]]/supply_chain_data[[#This Row],[Forecast Demand]]</f>
        <v>1.2</v>
      </c>
      <c r="W13">
        <v>55056</v>
      </c>
    </row>
    <row r="14" spans="1:23" x14ac:dyDescent="0.35">
      <c r="A14" t="s">
        <v>25</v>
      </c>
      <c r="B14" t="s">
        <v>26</v>
      </c>
      <c r="C14" t="s">
        <v>20</v>
      </c>
      <c r="D14" t="s">
        <v>39</v>
      </c>
      <c r="E14" t="s">
        <v>40</v>
      </c>
      <c r="F14" t="s">
        <v>33</v>
      </c>
      <c r="G14" s="3">
        <v>45304</v>
      </c>
      <c r="H14">
        <v>176</v>
      </c>
      <c r="I14">
        <v>37</v>
      </c>
      <c r="J14" t="str">
        <f>IF(supply_chain_data[[#This Row],[Units Sold]]&gt;supply_chain_data[[#This Row],[Opening Stock]],"Yes","No")</f>
        <v>No</v>
      </c>
      <c r="K14">
        <v>65</v>
      </c>
      <c r="L14">
        <f>supply_chain_data[[#This Row],[Opening Stock]]+supply_chain_data[[#This Row],[Units Received]]-supply_chain_data[[#This Row],[Units Sold]]</f>
        <v>204</v>
      </c>
      <c r="M14">
        <v>204</v>
      </c>
      <c r="N14">
        <v>66</v>
      </c>
      <c r="O14" s="2">
        <v>1061</v>
      </c>
      <c r="P14">
        <v>4</v>
      </c>
      <c r="Q14">
        <v>4</v>
      </c>
      <c r="R1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4" t="s">
        <v>24</v>
      </c>
      <c r="T14">
        <v>42</v>
      </c>
      <c r="U14" s="5">
        <f>MAX(0,MIN(1,1-ABS(supply_chain_data[[#This Row],[Forecast Demand]]-supply_chain_data[[#This Row],[Units Sold]])/supply_chain_data[[#This Row],[Forecast Demand]]))</f>
        <v>0.88095238095238093</v>
      </c>
      <c r="V14" s="4">
        <f>supply_chain_data[[#This Row],[Closing Stock]]/supply_chain_data[[#This Row],[Forecast Demand]]</f>
        <v>4.8571428571428568</v>
      </c>
      <c r="W14">
        <v>216444</v>
      </c>
    </row>
    <row r="15" spans="1:23" x14ac:dyDescent="0.35">
      <c r="A15" t="s">
        <v>34</v>
      </c>
      <c r="B15" t="s">
        <v>35</v>
      </c>
      <c r="C15" t="s">
        <v>20</v>
      </c>
      <c r="D15" t="s">
        <v>37</v>
      </c>
      <c r="E15" t="s">
        <v>38</v>
      </c>
      <c r="F15" t="s">
        <v>23</v>
      </c>
      <c r="G15" s="3">
        <v>45305</v>
      </c>
      <c r="H15">
        <v>256</v>
      </c>
      <c r="I15">
        <v>44</v>
      </c>
      <c r="J15" t="str">
        <f>IF(supply_chain_data[[#This Row],[Units Sold]]&gt;supply_chain_data[[#This Row],[Opening Stock]],"Yes","No")</f>
        <v>No</v>
      </c>
      <c r="K15">
        <v>70</v>
      </c>
      <c r="L15">
        <f>supply_chain_data[[#This Row],[Opening Stock]]+supply_chain_data[[#This Row],[Units Received]]-supply_chain_data[[#This Row],[Units Sold]]</f>
        <v>282</v>
      </c>
      <c r="M15">
        <v>282</v>
      </c>
      <c r="N15">
        <v>71</v>
      </c>
      <c r="O15" s="2">
        <v>862</v>
      </c>
      <c r="P15">
        <v>5</v>
      </c>
      <c r="Q15">
        <v>2</v>
      </c>
      <c r="R1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5" t="s">
        <v>24</v>
      </c>
      <c r="T15">
        <v>52</v>
      </c>
      <c r="U15" s="5">
        <f>MAX(0,MIN(1,1-ABS(supply_chain_data[[#This Row],[Forecast Demand]]-supply_chain_data[[#This Row],[Units Sold]])/supply_chain_data[[#This Row],[Forecast Demand]]))</f>
        <v>0.84615384615384615</v>
      </c>
      <c r="V15" s="4">
        <f>supply_chain_data[[#This Row],[Closing Stock]]/supply_chain_data[[#This Row],[Forecast Demand]]</f>
        <v>5.4230769230769234</v>
      </c>
      <c r="W15">
        <v>243084</v>
      </c>
    </row>
    <row r="16" spans="1:23" x14ac:dyDescent="0.35">
      <c r="A16" t="s">
        <v>18</v>
      </c>
      <c r="B16" t="s">
        <v>19</v>
      </c>
      <c r="C16" t="s">
        <v>20</v>
      </c>
      <c r="D16" t="s">
        <v>21</v>
      </c>
      <c r="E16" t="s">
        <v>27</v>
      </c>
      <c r="F16" t="s">
        <v>33</v>
      </c>
      <c r="G16" s="3">
        <v>45306</v>
      </c>
      <c r="H16">
        <v>95</v>
      </c>
      <c r="I16">
        <v>59</v>
      </c>
      <c r="J16" t="str">
        <f>IF(supply_chain_data[[#This Row],[Units Sold]]&gt;supply_chain_data[[#This Row],[Opening Stock]],"Yes","No")</f>
        <v>No</v>
      </c>
      <c r="K16">
        <v>42</v>
      </c>
      <c r="L16">
        <f>supply_chain_data[[#This Row],[Opening Stock]]+supply_chain_data[[#This Row],[Units Received]]-supply_chain_data[[#This Row],[Units Sold]]</f>
        <v>78</v>
      </c>
      <c r="M16">
        <v>78</v>
      </c>
      <c r="N16">
        <v>60</v>
      </c>
      <c r="O16" s="2">
        <v>310</v>
      </c>
      <c r="P16">
        <v>9</v>
      </c>
      <c r="Q16">
        <v>10</v>
      </c>
      <c r="R1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6" t="s">
        <v>24</v>
      </c>
      <c r="T16">
        <v>10</v>
      </c>
      <c r="U16" s="5">
        <f>MAX(0,MIN(1,1-ABS(supply_chain_data[[#This Row],[Forecast Demand]]-supply_chain_data[[#This Row],[Units Sold]])/supply_chain_data[[#This Row],[Forecast Demand]]))</f>
        <v>0</v>
      </c>
      <c r="V16" s="4">
        <f>supply_chain_data[[#This Row],[Closing Stock]]/supply_chain_data[[#This Row],[Forecast Demand]]</f>
        <v>7.8</v>
      </c>
      <c r="W16">
        <v>24180</v>
      </c>
    </row>
    <row r="17" spans="1:23" hidden="1" x14ac:dyDescent="0.35">
      <c r="A17" t="s">
        <v>34</v>
      </c>
      <c r="B17" t="s">
        <v>35</v>
      </c>
      <c r="C17" t="s">
        <v>20</v>
      </c>
      <c r="D17" t="s">
        <v>31</v>
      </c>
      <c r="E17" t="s">
        <v>32</v>
      </c>
      <c r="F17" t="s">
        <v>23</v>
      </c>
      <c r="G17" s="3">
        <v>45307</v>
      </c>
      <c r="H17">
        <v>65</v>
      </c>
      <c r="I17">
        <v>29</v>
      </c>
      <c r="J17" t="str">
        <f>IF(supply_chain_data[[#This Row],[Units Sold]]&gt;supply_chain_data[[#This Row],[Opening Stock]],"Yes","No")</f>
        <v>No</v>
      </c>
      <c r="K17">
        <v>29</v>
      </c>
      <c r="L17">
        <f>supply_chain_data[[#This Row],[Opening Stock]]+supply_chain_data[[#This Row],[Units Received]]-supply_chain_data[[#This Row],[Units Sold]]</f>
        <v>65</v>
      </c>
      <c r="M17">
        <v>65</v>
      </c>
      <c r="N17">
        <v>73</v>
      </c>
      <c r="O17" s="2">
        <v>452</v>
      </c>
      <c r="P17">
        <v>11</v>
      </c>
      <c r="Q17">
        <v>1</v>
      </c>
      <c r="R1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17" t="s">
        <v>36</v>
      </c>
      <c r="T17">
        <v>60</v>
      </c>
      <c r="U17" s="5">
        <f>MAX(0,MIN(1,1-ABS(supply_chain_data[[#This Row],[Forecast Demand]]-supply_chain_data[[#This Row],[Units Sold]])/supply_chain_data[[#This Row],[Forecast Demand]]))</f>
        <v>0.48333333333333328</v>
      </c>
      <c r="V17" s="4">
        <f>supply_chain_data[[#This Row],[Closing Stock]]/supply_chain_data[[#This Row],[Forecast Demand]]</f>
        <v>1.0833333333333333</v>
      </c>
      <c r="W17">
        <v>29380</v>
      </c>
    </row>
    <row r="18" spans="1:23" x14ac:dyDescent="0.35">
      <c r="A18" t="s">
        <v>18</v>
      </c>
      <c r="B18" t="s">
        <v>19</v>
      </c>
      <c r="C18" t="s">
        <v>20</v>
      </c>
      <c r="D18" t="s">
        <v>31</v>
      </c>
      <c r="E18" t="s">
        <v>32</v>
      </c>
      <c r="F18" t="s">
        <v>30</v>
      </c>
      <c r="G18" s="3">
        <v>45308</v>
      </c>
      <c r="H18">
        <v>285</v>
      </c>
      <c r="I18">
        <v>6</v>
      </c>
      <c r="J18" t="str">
        <f>IF(supply_chain_data[[#This Row],[Units Sold]]&gt;supply_chain_data[[#This Row],[Opening Stock]],"Yes","No")</f>
        <v>No</v>
      </c>
      <c r="K18">
        <v>23</v>
      </c>
      <c r="L18">
        <f>supply_chain_data[[#This Row],[Opening Stock]]+supply_chain_data[[#This Row],[Units Received]]-supply_chain_data[[#This Row],[Units Sold]]</f>
        <v>302</v>
      </c>
      <c r="M18">
        <v>302</v>
      </c>
      <c r="N18">
        <v>58</v>
      </c>
      <c r="O18" s="2">
        <v>1426</v>
      </c>
      <c r="P18">
        <v>10</v>
      </c>
      <c r="Q18">
        <v>4</v>
      </c>
      <c r="R1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8" t="s">
        <v>24</v>
      </c>
      <c r="T18">
        <v>67</v>
      </c>
      <c r="U18" s="5">
        <f>MAX(0,MIN(1,1-ABS(supply_chain_data[[#This Row],[Forecast Demand]]-supply_chain_data[[#This Row],[Units Sold]])/supply_chain_data[[#This Row],[Forecast Demand]]))</f>
        <v>8.9552238805970186E-2</v>
      </c>
      <c r="V18" s="4">
        <f>supply_chain_data[[#This Row],[Closing Stock]]/supply_chain_data[[#This Row],[Forecast Demand]]</f>
        <v>4.5074626865671643</v>
      </c>
      <c r="W18">
        <v>430652</v>
      </c>
    </row>
    <row r="19" spans="1:23" hidden="1" x14ac:dyDescent="0.35">
      <c r="A19" t="s">
        <v>18</v>
      </c>
      <c r="B19" t="s">
        <v>19</v>
      </c>
      <c r="C19" t="s">
        <v>20</v>
      </c>
      <c r="D19" t="s">
        <v>37</v>
      </c>
      <c r="E19" t="s">
        <v>46</v>
      </c>
      <c r="F19" t="s">
        <v>30</v>
      </c>
      <c r="G19" s="3">
        <v>45309</v>
      </c>
      <c r="H19">
        <v>57</v>
      </c>
      <c r="I19">
        <v>50</v>
      </c>
      <c r="J19" t="str">
        <f>IF(supply_chain_data[[#This Row],[Units Sold]]&gt;supply_chain_data[[#This Row],[Opening Stock]],"Yes","No")</f>
        <v>No</v>
      </c>
      <c r="K19">
        <v>51</v>
      </c>
      <c r="L19">
        <f>supply_chain_data[[#This Row],[Opening Stock]]+supply_chain_data[[#This Row],[Units Received]]-supply_chain_data[[#This Row],[Units Sold]]</f>
        <v>58</v>
      </c>
      <c r="M19">
        <v>58</v>
      </c>
      <c r="N19">
        <v>78</v>
      </c>
      <c r="O19" s="2">
        <v>62</v>
      </c>
      <c r="P19">
        <v>13</v>
      </c>
      <c r="Q19">
        <v>6</v>
      </c>
      <c r="R1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19" t="s">
        <v>36</v>
      </c>
      <c r="T19">
        <v>23</v>
      </c>
      <c r="U19" s="5">
        <f>MAX(0,MIN(1,1-ABS(supply_chain_data[[#This Row],[Forecast Demand]]-supply_chain_data[[#This Row],[Units Sold]])/supply_chain_data[[#This Row],[Forecast Demand]]))</f>
        <v>0</v>
      </c>
      <c r="V19" s="4">
        <f>supply_chain_data[[#This Row],[Closing Stock]]/supply_chain_data[[#This Row],[Forecast Demand]]</f>
        <v>2.5217391304347827</v>
      </c>
      <c r="W19">
        <v>3596</v>
      </c>
    </row>
    <row r="20" spans="1:23" hidden="1" x14ac:dyDescent="0.35">
      <c r="A20" t="s">
        <v>18</v>
      </c>
      <c r="B20" t="s">
        <v>19</v>
      </c>
      <c r="C20" t="s">
        <v>20</v>
      </c>
      <c r="D20" t="s">
        <v>39</v>
      </c>
      <c r="E20" t="s">
        <v>45</v>
      </c>
      <c r="F20" t="s">
        <v>23</v>
      </c>
      <c r="G20" s="3">
        <v>45310</v>
      </c>
      <c r="H20">
        <v>281</v>
      </c>
      <c r="I20">
        <v>29</v>
      </c>
      <c r="J20" t="str">
        <f>IF(supply_chain_data[[#This Row],[Units Sold]]&gt;supply_chain_data[[#This Row],[Opening Stock]],"Yes","No")</f>
        <v>No</v>
      </c>
      <c r="K20">
        <v>12</v>
      </c>
      <c r="L20">
        <f>supply_chain_data[[#This Row],[Opening Stock]]+supply_chain_data[[#This Row],[Units Received]]-supply_chain_data[[#This Row],[Units Sold]]</f>
        <v>264</v>
      </c>
      <c r="M20">
        <v>264</v>
      </c>
      <c r="N20">
        <v>62</v>
      </c>
      <c r="O20" s="2">
        <v>1353</v>
      </c>
      <c r="P20">
        <v>14</v>
      </c>
      <c r="Q20">
        <v>9</v>
      </c>
      <c r="R2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0" t="s">
        <v>24</v>
      </c>
      <c r="T20">
        <v>69</v>
      </c>
      <c r="U20" s="5">
        <f>MAX(0,MIN(1,1-ABS(supply_chain_data[[#This Row],[Forecast Demand]]-supply_chain_data[[#This Row],[Units Sold]])/supply_chain_data[[#This Row],[Forecast Demand]]))</f>
        <v>0.42028985507246375</v>
      </c>
      <c r="V20" s="4">
        <f>supply_chain_data[[#This Row],[Closing Stock]]/supply_chain_data[[#This Row],[Forecast Demand]]</f>
        <v>3.8260869565217392</v>
      </c>
      <c r="W20">
        <v>357192</v>
      </c>
    </row>
    <row r="21" spans="1:23" x14ac:dyDescent="0.35">
      <c r="A21" t="s">
        <v>18</v>
      </c>
      <c r="B21" t="s">
        <v>19</v>
      </c>
      <c r="C21" t="s">
        <v>20</v>
      </c>
      <c r="D21" t="s">
        <v>37</v>
      </c>
      <c r="E21" t="s">
        <v>38</v>
      </c>
      <c r="F21" t="s">
        <v>23</v>
      </c>
      <c r="G21" s="3">
        <v>45311</v>
      </c>
      <c r="H21">
        <v>246</v>
      </c>
      <c r="I21">
        <v>6</v>
      </c>
      <c r="J21" t="str">
        <f>IF(supply_chain_data[[#This Row],[Units Sold]]&gt;supply_chain_data[[#This Row],[Opening Stock]],"Yes","No")</f>
        <v>No</v>
      </c>
      <c r="K21">
        <v>36</v>
      </c>
      <c r="L21">
        <f>supply_chain_data[[#This Row],[Opening Stock]]+supply_chain_data[[#This Row],[Units Received]]-supply_chain_data[[#This Row],[Units Sold]]</f>
        <v>276</v>
      </c>
      <c r="M21">
        <v>276</v>
      </c>
      <c r="N21">
        <v>94</v>
      </c>
      <c r="O21" s="2">
        <v>1131</v>
      </c>
      <c r="P21">
        <v>7</v>
      </c>
      <c r="Q21">
        <v>9</v>
      </c>
      <c r="R2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1" t="s">
        <v>24</v>
      </c>
      <c r="T21">
        <v>49</v>
      </c>
      <c r="U21" s="5">
        <f>MAX(0,MIN(1,1-ABS(supply_chain_data[[#This Row],[Forecast Demand]]-supply_chain_data[[#This Row],[Units Sold]])/supply_chain_data[[#This Row],[Forecast Demand]]))</f>
        <v>0.12244897959183676</v>
      </c>
      <c r="V21" s="4">
        <f>supply_chain_data[[#This Row],[Closing Stock]]/supply_chain_data[[#This Row],[Forecast Demand]]</f>
        <v>5.6326530612244898</v>
      </c>
      <c r="W21">
        <v>312156</v>
      </c>
    </row>
    <row r="22" spans="1:23" x14ac:dyDescent="0.35">
      <c r="A22" t="s">
        <v>25</v>
      </c>
      <c r="B22" t="s">
        <v>26</v>
      </c>
      <c r="C22" t="s">
        <v>20</v>
      </c>
      <c r="D22" t="s">
        <v>21</v>
      </c>
      <c r="E22" t="s">
        <v>27</v>
      </c>
      <c r="F22" t="s">
        <v>30</v>
      </c>
      <c r="G22" s="3">
        <v>45312</v>
      </c>
      <c r="H22">
        <v>250</v>
      </c>
      <c r="I22">
        <v>27</v>
      </c>
      <c r="J22" t="str">
        <f>IF(supply_chain_data[[#This Row],[Units Sold]]&gt;supply_chain_data[[#This Row],[Opening Stock]],"Yes","No")</f>
        <v>No</v>
      </c>
      <c r="K22">
        <v>26</v>
      </c>
      <c r="L22">
        <f>supply_chain_data[[#This Row],[Opening Stock]]+supply_chain_data[[#This Row],[Units Received]]-supply_chain_data[[#This Row],[Units Sold]]</f>
        <v>249</v>
      </c>
      <c r="M22">
        <v>249</v>
      </c>
      <c r="N22">
        <v>73</v>
      </c>
      <c r="O22" s="2">
        <v>66</v>
      </c>
      <c r="P22">
        <v>6</v>
      </c>
      <c r="Q22">
        <v>6</v>
      </c>
      <c r="R2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2" t="s">
        <v>24</v>
      </c>
      <c r="T22">
        <v>15</v>
      </c>
      <c r="U22" s="5">
        <f>MAX(0,MIN(1,1-ABS(supply_chain_data[[#This Row],[Forecast Demand]]-supply_chain_data[[#This Row],[Units Sold]])/supply_chain_data[[#This Row],[Forecast Demand]]))</f>
        <v>0.19999999999999996</v>
      </c>
      <c r="V22" s="4">
        <f>supply_chain_data[[#This Row],[Closing Stock]]/supply_chain_data[[#This Row],[Forecast Demand]]</f>
        <v>16.600000000000001</v>
      </c>
      <c r="W22">
        <v>16434</v>
      </c>
    </row>
    <row r="23" spans="1:23" x14ac:dyDescent="0.35">
      <c r="A23" t="s">
        <v>28</v>
      </c>
      <c r="B23" t="s">
        <v>29</v>
      </c>
      <c r="C23" t="s">
        <v>20</v>
      </c>
      <c r="D23" t="s">
        <v>43</v>
      </c>
      <c r="E23" t="s">
        <v>44</v>
      </c>
      <c r="F23" t="s">
        <v>30</v>
      </c>
      <c r="G23" s="3">
        <v>45313</v>
      </c>
      <c r="H23">
        <v>246</v>
      </c>
      <c r="I23">
        <v>52</v>
      </c>
      <c r="J23" t="str">
        <f>IF(supply_chain_data[[#This Row],[Units Sold]]&gt;supply_chain_data[[#This Row],[Opening Stock]],"Yes","No")</f>
        <v>No</v>
      </c>
      <c r="K23">
        <v>37</v>
      </c>
      <c r="L23">
        <f>supply_chain_data[[#This Row],[Opening Stock]]+supply_chain_data[[#This Row],[Units Received]]-supply_chain_data[[#This Row],[Units Sold]]</f>
        <v>231</v>
      </c>
      <c r="M23">
        <v>231</v>
      </c>
      <c r="N23">
        <v>85</v>
      </c>
      <c r="O23" s="2">
        <v>63</v>
      </c>
      <c r="P23">
        <v>4</v>
      </c>
      <c r="Q23">
        <v>9</v>
      </c>
      <c r="R2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3" t="s">
        <v>24</v>
      </c>
      <c r="T23">
        <v>54</v>
      </c>
      <c r="U23" s="5">
        <f>MAX(0,MIN(1,1-ABS(supply_chain_data[[#This Row],[Forecast Demand]]-supply_chain_data[[#This Row],[Units Sold]])/supply_chain_data[[#This Row],[Forecast Demand]]))</f>
        <v>0.96296296296296302</v>
      </c>
      <c r="V23" s="4">
        <f>supply_chain_data[[#This Row],[Closing Stock]]/supply_chain_data[[#This Row],[Forecast Demand]]</f>
        <v>4.2777777777777777</v>
      </c>
      <c r="W23">
        <v>14553</v>
      </c>
    </row>
    <row r="24" spans="1:23" x14ac:dyDescent="0.35">
      <c r="A24" t="s">
        <v>41</v>
      </c>
      <c r="B24" t="s">
        <v>42</v>
      </c>
      <c r="C24" t="s">
        <v>20</v>
      </c>
      <c r="D24" t="s">
        <v>39</v>
      </c>
      <c r="E24" t="s">
        <v>40</v>
      </c>
      <c r="F24" t="s">
        <v>23</v>
      </c>
      <c r="G24" s="3">
        <v>45314</v>
      </c>
      <c r="H24">
        <v>241</v>
      </c>
      <c r="I24">
        <v>51</v>
      </c>
      <c r="J24" t="str">
        <f>IF(supply_chain_data[[#This Row],[Units Sold]]&gt;supply_chain_data[[#This Row],[Opening Stock]],"Yes","No")</f>
        <v>No</v>
      </c>
      <c r="K24">
        <v>55</v>
      </c>
      <c r="L24">
        <f>supply_chain_data[[#This Row],[Opening Stock]]+supply_chain_data[[#This Row],[Units Received]]-supply_chain_data[[#This Row],[Units Sold]]</f>
        <v>245</v>
      </c>
      <c r="M24">
        <v>245</v>
      </c>
      <c r="N24">
        <v>72</v>
      </c>
      <c r="O24" s="2">
        <v>606</v>
      </c>
      <c r="P24">
        <v>5</v>
      </c>
      <c r="Q24">
        <v>5</v>
      </c>
      <c r="R2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4" t="s">
        <v>24</v>
      </c>
      <c r="T24">
        <v>25</v>
      </c>
      <c r="U24" s="5">
        <f>MAX(0,MIN(1,1-ABS(supply_chain_data[[#This Row],[Forecast Demand]]-supply_chain_data[[#This Row],[Units Sold]])/supply_chain_data[[#This Row],[Forecast Demand]]))</f>
        <v>0</v>
      </c>
      <c r="V24" s="4">
        <f>supply_chain_data[[#This Row],[Closing Stock]]/supply_chain_data[[#This Row],[Forecast Demand]]</f>
        <v>9.8000000000000007</v>
      </c>
      <c r="W24">
        <v>148470</v>
      </c>
    </row>
    <row r="25" spans="1:23" x14ac:dyDescent="0.35">
      <c r="A25" t="s">
        <v>28</v>
      </c>
      <c r="B25" t="s">
        <v>29</v>
      </c>
      <c r="C25" t="s">
        <v>20</v>
      </c>
      <c r="D25" t="s">
        <v>43</v>
      </c>
      <c r="E25" t="s">
        <v>44</v>
      </c>
      <c r="F25" t="s">
        <v>30</v>
      </c>
      <c r="G25" s="3">
        <v>45315</v>
      </c>
      <c r="H25">
        <v>230</v>
      </c>
      <c r="I25">
        <v>10</v>
      </c>
      <c r="J25" t="str">
        <f>IF(supply_chain_data[[#This Row],[Units Sold]]&gt;supply_chain_data[[#This Row],[Opening Stock]],"Yes","No")</f>
        <v>No</v>
      </c>
      <c r="K25">
        <v>24</v>
      </c>
      <c r="L25">
        <f>supply_chain_data[[#This Row],[Opening Stock]]+supply_chain_data[[#This Row],[Units Received]]-supply_chain_data[[#This Row],[Units Sold]]</f>
        <v>244</v>
      </c>
      <c r="M25">
        <v>244</v>
      </c>
      <c r="N25">
        <v>54</v>
      </c>
      <c r="O25" s="2">
        <v>177</v>
      </c>
      <c r="P25">
        <v>9</v>
      </c>
      <c r="Q25">
        <v>3</v>
      </c>
      <c r="R2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5" t="s">
        <v>24</v>
      </c>
      <c r="T25">
        <v>60</v>
      </c>
      <c r="U25" s="5">
        <f>MAX(0,MIN(1,1-ABS(supply_chain_data[[#This Row],[Forecast Demand]]-supply_chain_data[[#This Row],[Units Sold]])/supply_chain_data[[#This Row],[Forecast Demand]]))</f>
        <v>0.16666666666666663</v>
      </c>
      <c r="V25" s="4">
        <f>supply_chain_data[[#This Row],[Closing Stock]]/supply_chain_data[[#This Row],[Forecast Demand]]</f>
        <v>4.0666666666666664</v>
      </c>
      <c r="W25">
        <v>43188</v>
      </c>
    </row>
    <row r="26" spans="1:23" x14ac:dyDescent="0.35">
      <c r="A26" t="s">
        <v>28</v>
      </c>
      <c r="B26" t="s">
        <v>29</v>
      </c>
      <c r="C26" t="s">
        <v>20</v>
      </c>
      <c r="D26" t="s">
        <v>31</v>
      </c>
      <c r="E26" t="s">
        <v>47</v>
      </c>
      <c r="F26" t="s">
        <v>30</v>
      </c>
      <c r="G26" s="3">
        <v>45316</v>
      </c>
      <c r="H26">
        <v>82</v>
      </c>
      <c r="I26">
        <v>7</v>
      </c>
      <c r="J26" t="str">
        <f>IF(supply_chain_data[[#This Row],[Units Sold]]&gt;supply_chain_data[[#This Row],[Opening Stock]],"Yes","No")</f>
        <v>No</v>
      </c>
      <c r="K26">
        <v>57</v>
      </c>
      <c r="L26">
        <f>supply_chain_data[[#This Row],[Opening Stock]]+supply_chain_data[[#This Row],[Units Received]]-supply_chain_data[[#This Row],[Units Sold]]</f>
        <v>132</v>
      </c>
      <c r="M26">
        <v>132</v>
      </c>
      <c r="N26">
        <v>45</v>
      </c>
      <c r="O26" s="2">
        <v>645</v>
      </c>
      <c r="P26">
        <v>13</v>
      </c>
      <c r="Q26">
        <v>3</v>
      </c>
      <c r="R2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6" t="s">
        <v>24</v>
      </c>
      <c r="T26">
        <v>32</v>
      </c>
      <c r="U26" s="5">
        <f>MAX(0,MIN(1,1-ABS(supply_chain_data[[#This Row],[Forecast Demand]]-supply_chain_data[[#This Row],[Units Sold]])/supply_chain_data[[#This Row],[Forecast Demand]]))</f>
        <v>0.21875</v>
      </c>
      <c r="V26" s="4">
        <f>supply_chain_data[[#This Row],[Closing Stock]]/supply_chain_data[[#This Row],[Forecast Demand]]</f>
        <v>4.125</v>
      </c>
      <c r="W26">
        <v>85140</v>
      </c>
    </row>
    <row r="27" spans="1:23" x14ac:dyDescent="0.35">
      <c r="A27" t="s">
        <v>41</v>
      </c>
      <c r="B27" t="s">
        <v>42</v>
      </c>
      <c r="C27" t="s">
        <v>20</v>
      </c>
      <c r="D27" t="s">
        <v>21</v>
      </c>
      <c r="E27" t="s">
        <v>27</v>
      </c>
      <c r="F27" t="s">
        <v>33</v>
      </c>
      <c r="G27" s="3">
        <v>45317</v>
      </c>
      <c r="H27">
        <v>250</v>
      </c>
      <c r="I27">
        <v>53</v>
      </c>
      <c r="J27" t="str">
        <f>IF(supply_chain_data[[#This Row],[Units Sold]]&gt;supply_chain_data[[#This Row],[Opening Stock]],"Yes","No")</f>
        <v>No</v>
      </c>
      <c r="K27">
        <v>54</v>
      </c>
      <c r="L27">
        <f>supply_chain_data[[#This Row],[Opening Stock]]+supply_chain_data[[#This Row],[Units Received]]-supply_chain_data[[#This Row],[Units Sold]]</f>
        <v>251</v>
      </c>
      <c r="M27">
        <v>251</v>
      </c>
      <c r="N27">
        <v>76</v>
      </c>
      <c r="O27" s="2">
        <v>1266</v>
      </c>
      <c r="P27">
        <v>10</v>
      </c>
      <c r="Q27">
        <v>6</v>
      </c>
      <c r="R2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7" t="s">
        <v>24</v>
      </c>
      <c r="T27">
        <v>45</v>
      </c>
      <c r="U27" s="5">
        <f>MAX(0,MIN(1,1-ABS(supply_chain_data[[#This Row],[Forecast Demand]]-supply_chain_data[[#This Row],[Units Sold]])/supply_chain_data[[#This Row],[Forecast Demand]]))</f>
        <v>0.82222222222222219</v>
      </c>
      <c r="V27" s="4">
        <f>supply_chain_data[[#This Row],[Closing Stock]]/supply_chain_data[[#This Row],[Forecast Demand]]</f>
        <v>5.5777777777777775</v>
      </c>
      <c r="W27">
        <v>317766</v>
      </c>
    </row>
    <row r="28" spans="1:23" x14ac:dyDescent="0.35">
      <c r="A28" t="s">
        <v>25</v>
      </c>
      <c r="B28" t="s">
        <v>26</v>
      </c>
      <c r="C28" t="s">
        <v>20</v>
      </c>
      <c r="D28" t="s">
        <v>31</v>
      </c>
      <c r="E28" t="s">
        <v>47</v>
      </c>
      <c r="F28" t="s">
        <v>30</v>
      </c>
      <c r="G28" s="3">
        <v>45318</v>
      </c>
      <c r="H28">
        <v>273</v>
      </c>
      <c r="I28">
        <v>54</v>
      </c>
      <c r="J28" t="str">
        <f>IF(supply_chain_data[[#This Row],[Units Sold]]&gt;supply_chain_data[[#This Row],[Opening Stock]],"Yes","No")</f>
        <v>No</v>
      </c>
      <c r="K28">
        <v>77</v>
      </c>
      <c r="L28">
        <f>supply_chain_data[[#This Row],[Opening Stock]]+supply_chain_data[[#This Row],[Units Received]]-supply_chain_data[[#This Row],[Units Sold]]</f>
        <v>296</v>
      </c>
      <c r="M28">
        <v>296</v>
      </c>
      <c r="N28">
        <v>53</v>
      </c>
      <c r="O28" s="2">
        <v>1248</v>
      </c>
      <c r="P28">
        <v>4</v>
      </c>
      <c r="Q28">
        <v>6</v>
      </c>
      <c r="R2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8" t="s">
        <v>24</v>
      </c>
      <c r="T28">
        <v>29</v>
      </c>
      <c r="U28" s="5">
        <f>MAX(0,MIN(1,1-ABS(supply_chain_data[[#This Row],[Forecast Demand]]-supply_chain_data[[#This Row],[Units Sold]])/supply_chain_data[[#This Row],[Forecast Demand]]))</f>
        <v>0.13793103448275867</v>
      </c>
      <c r="V28" s="4">
        <f>supply_chain_data[[#This Row],[Closing Stock]]/supply_chain_data[[#This Row],[Forecast Demand]]</f>
        <v>10.206896551724139</v>
      </c>
      <c r="W28">
        <v>369408</v>
      </c>
    </row>
    <row r="29" spans="1:23" hidden="1" x14ac:dyDescent="0.35">
      <c r="A29" t="s">
        <v>18</v>
      </c>
      <c r="B29" t="s">
        <v>19</v>
      </c>
      <c r="C29" t="s">
        <v>20</v>
      </c>
      <c r="D29" t="s">
        <v>31</v>
      </c>
      <c r="E29" t="s">
        <v>47</v>
      </c>
      <c r="F29" t="s">
        <v>30</v>
      </c>
      <c r="G29" s="3">
        <v>45319</v>
      </c>
      <c r="H29">
        <v>135</v>
      </c>
      <c r="I29">
        <v>22</v>
      </c>
      <c r="J29" t="str">
        <f>IF(supply_chain_data[[#This Row],[Units Sold]]&gt;supply_chain_data[[#This Row],[Opening Stock]],"Yes","No")</f>
        <v>No</v>
      </c>
      <c r="K29">
        <v>1</v>
      </c>
      <c r="L29">
        <f>supply_chain_data[[#This Row],[Opening Stock]]+supply_chain_data[[#This Row],[Units Received]]-supply_chain_data[[#This Row],[Units Sold]]</f>
        <v>114</v>
      </c>
      <c r="M29">
        <v>114</v>
      </c>
      <c r="N29">
        <v>99</v>
      </c>
      <c r="O29" s="2">
        <v>583</v>
      </c>
      <c r="P29">
        <v>13</v>
      </c>
      <c r="Q29">
        <v>6</v>
      </c>
      <c r="R2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9" t="s">
        <v>24</v>
      </c>
      <c r="T29">
        <v>29</v>
      </c>
      <c r="U29" s="5">
        <f>MAX(0,MIN(1,1-ABS(supply_chain_data[[#This Row],[Forecast Demand]]-supply_chain_data[[#This Row],[Units Sold]])/supply_chain_data[[#This Row],[Forecast Demand]]))</f>
        <v>0.75862068965517238</v>
      </c>
      <c r="V29" s="4">
        <f>supply_chain_data[[#This Row],[Closing Stock]]/supply_chain_data[[#This Row],[Forecast Demand]]</f>
        <v>3.9310344827586206</v>
      </c>
      <c r="W29">
        <v>66462</v>
      </c>
    </row>
    <row r="30" spans="1:23" hidden="1" x14ac:dyDescent="0.35">
      <c r="A30" t="s">
        <v>41</v>
      </c>
      <c r="B30" t="s">
        <v>42</v>
      </c>
      <c r="C30" t="s">
        <v>20</v>
      </c>
      <c r="D30" t="s">
        <v>21</v>
      </c>
      <c r="E30" t="s">
        <v>27</v>
      </c>
      <c r="F30" t="s">
        <v>23</v>
      </c>
      <c r="G30" s="3">
        <v>45320</v>
      </c>
      <c r="H30">
        <v>55</v>
      </c>
      <c r="I30">
        <v>55</v>
      </c>
      <c r="J30" t="str">
        <f>IF(supply_chain_data[[#This Row],[Units Sold]]&gt;supply_chain_data[[#This Row],[Opening Stock]],"Yes","No")</f>
        <v>No</v>
      </c>
      <c r="K30">
        <v>36</v>
      </c>
      <c r="L30">
        <f>supply_chain_data[[#This Row],[Opening Stock]]+supply_chain_data[[#This Row],[Units Received]]-supply_chain_data[[#This Row],[Units Sold]]</f>
        <v>36</v>
      </c>
      <c r="M30">
        <v>36</v>
      </c>
      <c r="N30">
        <v>49</v>
      </c>
      <c r="O30" s="2">
        <v>1066</v>
      </c>
      <c r="P30">
        <v>10</v>
      </c>
      <c r="Q30">
        <v>3</v>
      </c>
      <c r="R3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30" t="s">
        <v>36</v>
      </c>
      <c r="T30">
        <v>24</v>
      </c>
      <c r="U30" s="5">
        <f>MAX(0,MIN(1,1-ABS(supply_chain_data[[#This Row],[Forecast Demand]]-supply_chain_data[[#This Row],[Units Sold]])/supply_chain_data[[#This Row],[Forecast Demand]]))</f>
        <v>0</v>
      </c>
      <c r="V30" s="4">
        <f>supply_chain_data[[#This Row],[Closing Stock]]/supply_chain_data[[#This Row],[Forecast Demand]]</f>
        <v>1.5</v>
      </c>
      <c r="W30">
        <v>38376</v>
      </c>
    </row>
    <row r="31" spans="1:23" x14ac:dyDescent="0.35">
      <c r="A31" t="s">
        <v>25</v>
      </c>
      <c r="B31" t="s">
        <v>26</v>
      </c>
      <c r="C31" t="s">
        <v>20</v>
      </c>
      <c r="D31" t="s">
        <v>31</v>
      </c>
      <c r="E31" t="s">
        <v>32</v>
      </c>
      <c r="F31" t="s">
        <v>33</v>
      </c>
      <c r="G31" s="3">
        <v>45321</v>
      </c>
      <c r="H31">
        <v>210</v>
      </c>
      <c r="I31">
        <v>27</v>
      </c>
      <c r="J31" t="str">
        <f>IF(supply_chain_data[[#This Row],[Units Sold]]&gt;supply_chain_data[[#This Row],[Opening Stock]],"Yes","No")</f>
        <v>No</v>
      </c>
      <c r="K31">
        <v>2</v>
      </c>
      <c r="L31">
        <f>supply_chain_data[[#This Row],[Opening Stock]]+supply_chain_data[[#This Row],[Units Received]]-supply_chain_data[[#This Row],[Units Sold]]</f>
        <v>185</v>
      </c>
      <c r="M31">
        <v>185</v>
      </c>
      <c r="N31">
        <v>80</v>
      </c>
      <c r="O31" s="2">
        <v>151</v>
      </c>
      <c r="P31">
        <v>2</v>
      </c>
      <c r="Q31">
        <v>1</v>
      </c>
      <c r="R3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1" t="s">
        <v>24</v>
      </c>
      <c r="T31">
        <v>28</v>
      </c>
      <c r="U31" s="5">
        <f>MAX(0,MIN(1,1-ABS(supply_chain_data[[#This Row],[Forecast Demand]]-supply_chain_data[[#This Row],[Units Sold]])/supply_chain_data[[#This Row],[Forecast Demand]]))</f>
        <v>0.9642857142857143</v>
      </c>
      <c r="V31" s="4">
        <f>supply_chain_data[[#This Row],[Closing Stock]]/supply_chain_data[[#This Row],[Forecast Demand]]</f>
        <v>6.6071428571428568</v>
      </c>
      <c r="W31">
        <v>27935</v>
      </c>
    </row>
    <row r="32" spans="1:23" x14ac:dyDescent="0.35">
      <c r="A32" t="s">
        <v>18</v>
      </c>
      <c r="B32" t="s">
        <v>19</v>
      </c>
      <c r="C32" t="s">
        <v>20</v>
      </c>
      <c r="D32" t="s">
        <v>39</v>
      </c>
      <c r="E32" t="s">
        <v>45</v>
      </c>
      <c r="F32" t="s">
        <v>23</v>
      </c>
      <c r="G32" s="3">
        <v>45322</v>
      </c>
      <c r="H32">
        <v>249</v>
      </c>
      <c r="I32">
        <v>42</v>
      </c>
      <c r="J32" t="str">
        <f>IF(supply_chain_data[[#This Row],[Units Sold]]&gt;supply_chain_data[[#This Row],[Opening Stock]],"Yes","No")</f>
        <v>No</v>
      </c>
      <c r="K32">
        <v>12</v>
      </c>
      <c r="L32">
        <f>supply_chain_data[[#This Row],[Opening Stock]]+supply_chain_data[[#This Row],[Units Received]]-supply_chain_data[[#This Row],[Units Sold]]</f>
        <v>219</v>
      </c>
      <c r="M32">
        <v>219</v>
      </c>
      <c r="N32">
        <v>44</v>
      </c>
      <c r="O32" s="2">
        <v>898</v>
      </c>
      <c r="P32">
        <v>15</v>
      </c>
      <c r="Q32">
        <v>0</v>
      </c>
      <c r="R3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2" t="s">
        <v>24</v>
      </c>
      <c r="T32">
        <v>31</v>
      </c>
      <c r="U32" s="5">
        <f>MAX(0,MIN(1,1-ABS(supply_chain_data[[#This Row],[Forecast Demand]]-supply_chain_data[[#This Row],[Units Sold]])/supply_chain_data[[#This Row],[Forecast Demand]]))</f>
        <v>0.64516129032258063</v>
      </c>
      <c r="V32" s="4">
        <f>supply_chain_data[[#This Row],[Closing Stock]]/supply_chain_data[[#This Row],[Forecast Demand]]</f>
        <v>7.064516129032258</v>
      </c>
      <c r="W32">
        <v>196662</v>
      </c>
    </row>
    <row r="33" spans="1:23" x14ac:dyDescent="0.35">
      <c r="A33" t="s">
        <v>41</v>
      </c>
      <c r="B33" t="s">
        <v>42</v>
      </c>
      <c r="C33" t="s">
        <v>20</v>
      </c>
      <c r="D33" t="s">
        <v>43</v>
      </c>
      <c r="E33" t="s">
        <v>44</v>
      </c>
      <c r="F33" t="s">
        <v>23</v>
      </c>
      <c r="G33" s="3">
        <v>45323</v>
      </c>
      <c r="H33">
        <v>206</v>
      </c>
      <c r="I33">
        <v>22</v>
      </c>
      <c r="J33" t="str">
        <f>IF(supply_chain_data[[#This Row],[Units Sold]]&gt;supply_chain_data[[#This Row],[Opening Stock]],"Yes","No")</f>
        <v>No</v>
      </c>
      <c r="K33">
        <v>27</v>
      </c>
      <c r="L33">
        <f>supply_chain_data[[#This Row],[Opening Stock]]+supply_chain_data[[#This Row],[Units Received]]-supply_chain_data[[#This Row],[Units Sold]]</f>
        <v>211</v>
      </c>
      <c r="M33">
        <v>211</v>
      </c>
      <c r="N33">
        <v>65</v>
      </c>
      <c r="O33" s="2">
        <v>1002</v>
      </c>
      <c r="P33">
        <v>11</v>
      </c>
      <c r="Q33">
        <v>8</v>
      </c>
      <c r="R3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3" t="s">
        <v>24</v>
      </c>
      <c r="T33">
        <v>29</v>
      </c>
      <c r="U33" s="5">
        <f>MAX(0,MIN(1,1-ABS(supply_chain_data[[#This Row],[Forecast Demand]]-supply_chain_data[[#This Row],[Units Sold]])/supply_chain_data[[#This Row],[Forecast Demand]]))</f>
        <v>0.75862068965517238</v>
      </c>
      <c r="V33" s="4">
        <f>supply_chain_data[[#This Row],[Closing Stock]]/supply_chain_data[[#This Row],[Forecast Demand]]</f>
        <v>7.2758620689655169</v>
      </c>
      <c r="W33">
        <v>211422</v>
      </c>
    </row>
    <row r="34" spans="1:23" x14ac:dyDescent="0.35">
      <c r="A34" t="s">
        <v>41</v>
      </c>
      <c r="B34" t="s">
        <v>42</v>
      </c>
      <c r="C34" t="s">
        <v>20</v>
      </c>
      <c r="D34" t="s">
        <v>21</v>
      </c>
      <c r="E34" t="s">
        <v>27</v>
      </c>
      <c r="F34" t="s">
        <v>33</v>
      </c>
      <c r="G34" s="3">
        <v>45324</v>
      </c>
      <c r="H34">
        <v>296</v>
      </c>
      <c r="I34">
        <v>42</v>
      </c>
      <c r="J34" t="str">
        <f>IF(supply_chain_data[[#This Row],[Units Sold]]&gt;supply_chain_data[[#This Row],[Opening Stock]],"Yes","No")</f>
        <v>No</v>
      </c>
      <c r="K34">
        <v>37</v>
      </c>
      <c r="L34">
        <f>supply_chain_data[[#This Row],[Opening Stock]]+supply_chain_data[[#This Row],[Units Received]]-supply_chain_data[[#This Row],[Units Sold]]</f>
        <v>291</v>
      </c>
      <c r="M34">
        <v>291</v>
      </c>
      <c r="N34">
        <v>91</v>
      </c>
      <c r="O34" s="2">
        <v>202</v>
      </c>
      <c r="P34">
        <v>11</v>
      </c>
      <c r="Q34">
        <v>3</v>
      </c>
      <c r="R3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4" t="s">
        <v>24</v>
      </c>
      <c r="T34">
        <v>18</v>
      </c>
      <c r="U34" s="5">
        <f>MAX(0,MIN(1,1-ABS(supply_chain_data[[#This Row],[Forecast Demand]]-supply_chain_data[[#This Row],[Units Sold]])/supply_chain_data[[#This Row],[Forecast Demand]]))</f>
        <v>0</v>
      </c>
      <c r="V34" s="4">
        <f>supply_chain_data[[#This Row],[Closing Stock]]/supply_chain_data[[#This Row],[Forecast Demand]]</f>
        <v>16.166666666666668</v>
      </c>
      <c r="W34">
        <v>58782</v>
      </c>
    </row>
    <row r="35" spans="1:23" hidden="1" x14ac:dyDescent="0.35">
      <c r="A35" t="s">
        <v>18</v>
      </c>
      <c r="B35" t="s">
        <v>19</v>
      </c>
      <c r="C35" t="s">
        <v>20</v>
      </c>
      <c r="D35" t="s">
        <v>37</v>
      </c>
      <c r="E35" t="s">
        <v>38</v>
      </c>
      <c r="F35" t="s">
        <v>33</v>
      </c>
      <c r="G35" s="3">
        <v>45325</v>
      </c>
      <c r="H35">
        <v>253</v>
      </c>
      <c r="I35">
        <v>37</v>
      </c>
      <c r="J35" t="str">
        <f>IF(supply_chain_data[[#This Row],[Units Sold]]&gt;supply_chain_data[[#This Row],[Opening Stock]],"Yes","No")</f>
        <v>No</v>
      </c>
      <c r="K35">
        <v>9</v>
      </c>
      <c r="L35">
        <f>supply_chain_data[[#This Row],[Opening Stock]]+supply_chain_data[[#This Row],[Units Received]]-supply_chain_data[[#This Row],[Units Sold]]</f>
        <v>225</v>
      </c>
      <c r="M35">
        <v>225</v>
      </c>
      <c r="N35">
        <v>84</v>
      </c>
      <c r="O35" s="2">
        <v>597</v>
      </c>
      <c r="P35">
        <v>12</v>
      </c>
      <c r="Q35">
        <v>9</v>
      </c>
      <c r="R3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5" t="s">
        <v>24</v>
      </c>
      <c r="T35">
        <v>58</v>
      </c>
      <c r="U35" s="5">
        <f>MAX(0,MIN(1,1-ABS(supply_chain_data[[#This Row],[Forecast Demand]]-supply_chain_data[[#This Row],[Units Sold]])/supply_chain_data[[#This Row],[Forecast Demand]]))</f>
        <v>0.63793103448275867</v>
      </c>
      <c r="V35" s="4">
        <f>supply_chain_data[[#This Row],[Closing Stock]]/supply_chain_data[[#This Row],[Forecast Demand]]</f>
        <v>3.8793103448275863</v>
      </c>
      <c r="W35">
        <v>134325</v>
      </c>
    </row>
    <row r="36" spans="1:23" x14ac:dyDescent="0.35">
      <c r="A36" t="s">
        <v>28</v>
      </c>
      <c r="B36" t="s">
        <v>29</v>
      </c>
      <c r="C36" t="s">
        <v>20</v>
      </c>
      <c r="D36" t="s">
        <v>43</v>
      </c>
      <c r="E36" t="s">
        <v>48</v>
      </c>
      <c r="F36" t="s">
        <v>33</v>
      </c>
      <c r="G36" s="3">
        <v>45326</v>
      </c>
      <c r="H36">
        <v>200</v>
      </c>
      <c r="I36">
        <v>22</v>
      </c>
      <c r="J36" t="str">
        <f>IF(supply_chain_data[[#This Row],[Units Sold]]&gt;supply_chain_data[[#This Row],[Opening Stock]],"Yes","No")</f>
        <v>No</v>
      </c>
      <c r="K36">
        <v>56</v>
      </c>
      <c r="L36">
        <f>supply_chain_data[[#This Row],[Opening Stock]]+supply_chain_data[[#This Row],[Units Received]]-supply_chain_data[[#This Row],[Units Sold]]</f>
        <v>234</v>
      </c>
      <c r="M36">
        <v>234</v>
      </c>
      <c r="N36">
        <v>97</v>
      </c>
      <c r="O36" s="2">
        <v>1102</v>
      </c>
      <c r="P36">
        <v>15</v>
      </c>
      <c r="Q36">
        <v>9</v>
      </c>
      <c r="R3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6" t="s">
        <v>24</v>
      </c>
      <c r="T36">
        <v>21</v>
      </c>
      <c r="U36" s="5">
        <f>MAX(0,MIN(1,1-ABS(supply_chain_data[[#This Row],[Forecast Demand]]-supply_chain_data[[#This Row],[Units Sold]])/supply_chain_data[[#This Row],[Forecast Demand]]))</f>
        <v>0.95238095238095233</v>
      </c>
      <c r="V36" s="4">
        <f>supply_chain_data[[#This Row],[Closing Stock]]/supply_chain_data[[#This Row],[Forecast Demand]]</f>
        <v>11.142857142857142</v>
      </c>
      <c r="W36">
        <v>257868</v>
      </c>
    </row>
    <row r="37" spans="1:23" x14ac:dyDescent="0.35">
      <c r="A37" t="s">
        <v>41</v>
      </c>
      <c r="B37" t="s">
        <v>42</v>
      </c>
      <c r="C37" t="s">
        <v>20</v>
      </c>
      <c r="D37" t="s">
        <v>21</v>
      </c>
      <c r="E37" t="s">
        <v>27</v>
      </c>
      <c r="F37" t="s">
        <v>33</v>
      </c>
      <c r="G37" s="3">
        <v>45327</v>
      </c>
      <c r="H37">
        <v>91</v>
      </c>
      <c r="I37">
        <v>17</v>
      </c>
      <c r="J37" t="str">
        <f>IF(supply_chain_data[[#This Row],[Units Sold]]&gt;supply_chain_data[[#This Row],[Opening Stock]],"Yes","No")</f>
        <v>No</v>
      </c>
      <c r="K37">
        <v>65</v>
      </c>
      <c r="L37">
        <f>supply_chain_data[[#This Row],[Opening Stock]]+supply_chain_data[[#This Row],[Units Received]]-supply_chain_data[[#This Row],[Units Sold]]</f>
        <v>139</v>
      </c>
      <c r="M37">
        <v>139</v>
      </c>
      <c r="N37">
        <v>83</v>
      </c>
      <c r="O37" s="2">
        <v>465</v>
      </c>
      <c r="P37">
        <v>4</v>
      </c>
      <c r="Q37">
        <v>5</v>
      </c>
      <c r="R3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7" t="s">
        <v>24</v>
      </c>
      <c r="T37">
        <v>13</v>
      </c>
      <c r="U37" s="5">
        <f>MAX(0,MIN(1,1-ABS(supply_chain_data[[#This Row],[Forecast Demand]]-supply_chain_data[[#This Row],[Units Sold]])/supply_chain_data[[#This Row],[Forecast Demand]]))</f>
        <v>0.69230769230769229</v>
      </c>
      <c r="V37" s="4">
        <f>supply_chain_data[[#This Row],[Closing Stock]]/supply_chain_data[[#This Row],[Forecast Demand]]</f>
        <v>10.692307692307692</v>
      </c>
      <c r="W37">
        <v>64635</v>
      </c>
    </row>
    <row r="38" spans="1:23" x14ac:dyDescent="0.35">
      <c r="A38" t="s">
        <v>18</v>
      </c>
      <c r="B38" t="s">
        <v>19</v>
      </c>
      <c r="C38" t="s">
        <v>20</v>
      </c>
      <c r="D38" t="s">
        <v>31</v>
      </c>
      <c r="E38" t="s">
        <v>32</v>
      </c>
      <c r="F38" t="s">
        <v>23</v>
      </c>
      <c r="G38" s="3">
        <v>45328</v>
      </c>
      <c r="H38">
        <v>241</v>
      </c>
      <c r="I38">
        <v>40</v>
      </c>
      <c r="J38" t="str">
        <f>IF(supply_chain_data[[#This Row],[Units Sold]]&gt;supply_chain_data[[#This Row],[Opening Stock]],"Yes","No")</f>
        <v>No</v>
      </c>
      <c r="K38">
        <v>58</v>
      </c>
      <c r="L38">
        <f>supply_chain_data[[#This Row],[Opening Stock]]+supply_chain_data[[#This Row],[Units Received]]-supply_chain_data[[#This Row],[Units Sold]]</f>
        <v>259</v>
      </c>
      <c r="M38">
        <v>259</v>
      </c>
      <c r="N38">
        <v>88</v>
      </c>
      <c r="O38" s="2">
        <v>1433</v>
      </c>
      <c r="P38">
        <v>10</v>
      </c>
      <c r="Q38">
        <v>3</v>
      </c>
      <c r="R3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8" t="s">
        <v>24</v>
      </c>
      <c r="T38">
        <v>33</v>
      </c>
      <c r="U38" s="5">
        <f>MAX(0,MIN(1,1-ABS(supply_chain_data[[#This Row],[Forecast Demand]]-supply_chain_data[[#This Row],[Units Sold]])/supply_chain_data[[#This Row],[Forecast Demand]]))</f>
        <v>0.78787878787878785</v>
      </c>
      <c r="V38" s="4">
        <f>supply_chain_data[[#This Row],[Closing Stock]]/supply_chain_data[[#This Row],[Forecast Demand]]</f>
        <v>7.8484848484848486</v>
      </c>
      <c r="W38">
        <v>371147</v>
      </c>
    </row>
    <row r="39" spans="1:23" x14ac:dyDescent="0.35">
      <c r="A39" t="s">
        <v>18</v>
      </c>
      <c r="B39" t="s">
        <v>19</v>
      </c>
      <c r="C39" t="s">
        <v>20</v>
      </c>
      <c r="D39" t="s">
        <v>31</v>
      </c>
      <c r="E39" t="s">
        <v>47</v>
      </c>
      <c r="F39" t="s">
        <v>23</v>
      </c>
      <c r="G39" s="3">
        <v>45329</v>
      </c>
      <c r="H39">
        <v>288</v>
      </c>
      <c r="I39">
        <v>45</v>
      </c>
      <c r="J39" t="str">
        <f>IF(supply_chain_data[[#This Row],[Units Sold]]&gt;supply_chain_data[[#This Row],[Opening Stock]],"Yes","No")</f>
        <v>No</v>
      </c>
      <c r="K39">
        <v>45</v>
      </c>
      <c r="L39">
        <f>supply_chain_data[[#This Row],[Opening Stock]]+supply_chain_data[[#This Row],[Units Received]]-supply_chain_data[[#This Row],[Units Sold]]</f>
        <v>288</v>
      </c>
      <c r="M39">
        <v>288</v>
      </c>
      <c r="N39">
        <v>48</v>
      </c>
      <c r="O39" s="2">
        <v>804</v>
      </c>
      <c r="P39">
        <v>11</v>
      </c>
      <c r="Q39">
        <v>9</v>
      </c>
      <c r="R3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9" t="s">
        <v>24</v>
      </c>
      <c r="T39">
        <v>67</v>
      </c>
      <c r="U39" s="5">
        <f>MAX(0,MIN(1,1-ABS(supply_chain_data[[#This Row],[Forecast Demand]]-supply_chain_data[[#This Row],[Units Sold]])/supply_chain_data[[#This Row],[Forecast Demand]]))</f>
        <v>0.67164179104477606</v>
      </c>
      <c r="V39" s="4">
        <f>supply_chain_data[[#This Row],[Closing Stock]]/supply_chain_data[[#This Row],[Forecast Demand]]</f>
        <v>4.2985074626865671</v>
      </c>
      <c r="W39">
        <v>231552</v>
      </c>
    </row>
    <row r="40" spans="1:23" hidden="1" x14ac:dyDescent="0.35">
      <c r="A40" t="s">
        <v>18</v>
      </c>
      <c r="B40" t="s">
        <v>19</v>
      </c>
      <c r="C40" t="s">
        <v>20</v>
      </c>
      <c r="D40" t="s">
        <v>39</v>
      </c>
      <c r="E40" t="s">
        <v>40</v>
      </c>
      <c r="F40" t="s">
        <v>33</v>
      </c>
      <c r="G40" s="3">
        <v>45330</v>
      </c>
      <c r="H40">
        <v>59</v>
      </c>
      <c r="I40">
        <v>42</v>
      </c>
      <c r="J40" t="str">
        <f>IF(supply_chain_data[[#This Row],[Units Sold]]&gt;supply_chain_data[[#This Row],[Opening Stock]],"Yes","No")</f>
        <v>No</v>
      </c>
      <c r="K40">
        <v>44</v>
      </c>
      <c r="L40">
        <f>supply_chain_data[[#This Row],[Opening Stock]]+supply_chain_data[[#This Row],[Units Received]]-supply_chain_data[[#This Row],[Units Sold]]</f>
        <v>61</v>
      </c>
      <c r="M40">
        <v>61</v>
      </c>
      <c r="N40">
        <v>88</v>
      </c>
      <c r="O40" s="2">
        <v>332</v>
      </c>
      <c r="P40">
        <v>2</v>
      </c>
      <c r="Q40">
        <v>9</v>
      </c>
      <c r="R4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40" t="s">
        <v>36</v>
      </c>
      <c r="T40">
        <v>30</v>
      </c>
      <c r="U40" s="5">
        <f>MAX(0,MIN(1,1-ABS(supply_chain_data[[#This Row],[Forecast Demand]]-supply_chain_data[[#This Row],[Units Sold]])/supply_chain_data[[#This Row],[Forecast Demand]]))</f>
        <v>0.6</v>
      </c>
      <c r="V40" s="4">
        <f>supply_chain_data[[#This Row],[Closing Stock]]/supply_chain_data[[#This Row],[Forecast Demand]]</f>
        <v>2.0333333333333332</v>
      </c>
      <c r="W40">
        <v>20252</v>
      </c>
    </row>
    <row r="41" spans="1:23" x14ac:dyDescent="0.35">
      <c r="A41" t="s">
        <v>18</v>
      </c>
      <c r="B41" t="s">
        <v>19</v>
      </c>
      <c r="C41" t="s">
        <v>20</v>
      </c>
      <c r="D41" t="s">
        <v>39</v>
      </c>
      <c r="E41" t="s">
        <v>45</v>
      </c>
      <c r="F41" t="s">
        <v>33</v>
      </c>
      <c r="G41" s="3">
        <v>45331</v>
      </c>
      <c r="H41">
        <v>216</v>
      </c>
      <c r="I41">
        <v>53</v>
      </c>
      <c r="J41" t="str">
        <f>IF(supply_chain_data[[#This Row],[Units Sold]]&gt;supply_chain_data[[#This Row],[Opening Stock]],"Yes","No")</f>
        <v>No</v>
      </c>
      <c r="K41">
        <v>71</v>
      </c>
      <c r="L41">
        <f>supply_chain_data[[#This Row],[Opening Stock]]+supply_chain_data[[#This Row],[Units Received]]-supply_chain_data[[#This Row],[Units Sold]]</f>
        <v>234</v>
      </c>
      <c r="M41">
        <v>234</v>
      </c>
      <c r="N41">
        <v>70</v>
      </c>
      <c r="O41" s="2">
        <v>609</v>
      </c>
      <c r="P41">
        <v>10</v>
      </c>
      <c r="Q41">
        <v>0</v>
      </c>
      <c r="R4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1" t="s">
        <v>24</v>
      </c>
      <c r="T41">
        <v>14</v>
      </c>
      <c r="U41" s="5">
        <f>MAX(0,MIN(1,1-ABS(supply_chain_data[[#This Row],[Forecast Demand]]-supply_chain_data[[#This Row],[Units Sold]])/supply_chain_data[[#This Row],[Forecast Demand]]))</f>
        <v>0</v>
      </c>
      <c r="V41" s="4">
        <f>supply_chain_data[[#This Row],[Closing Stock]]/supply_chain_data[[#This Row],[Forecast Demand]]</f>
        <v>16.714285714285715</v>
      </c>
      <c r="W41">
        <v>142506</v>
      </c>
    </row>
    <row r="42" spans="1:23" hidden="1" x14ac:dyDescent="0.35">
      <c r="A42" t="s">
        <v>34</v>
      </c>
      <c r="B42" t="s">
        <v>35</v>
      </c>
      <c r="C42" t="s">
        <v>20</v>
      </c>
      <c r="D42" t="s">
        <v>21</v>
      </c>
      <c r="E42" t="s">
        <v>27</v>
      </c>
      <c r="F42" t="s">
        <v>23</v>
      </c>
      <c r="G42" s="3">
        <v>45332</v>
      </c>
      <c r="H42">
        <v>131</v>
      </c>
      <c r="I42">
        <v>17</v>
      </c>
      <c r="J42" t="str">
        <f>IF(supply_chain_data[[#This Row],[Units Sold]]&gt;supply_chain_data[[#This Row],[Opening Stock]],"Yes","No")</f>
        <v>No</v>
      </c>
      <c r="K42">
        <v>37</v>
      </c>
      <c r="L42">
        <f>supply_chain_data[[#This Row],[Opening Stock]]+supply_chain_data[[#This Row],[Units Received]]-supply_chain_data[[#This Row],[Units Sold]]</f>
        <v>151</v>
      </c>
      <c r="M42">
        <v>151</v>
      </c>
      <c r="N42">
        <v>60</v>
      </c>
      <c r="O42" s="2">
        <v>196</v>
      </c>
      <c r="P42">
        <v>6</v>
      </c>
      <c r="Q42">
        <v>7</v>
      </c>
      <c r="R4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2" t="s">
        <v>24</v>
      </c>
      <c r="T42">
        <v>50</v>
      </c>
      <c r="U42" s="5">
        <f>MAX(0,MIN(1,1-ABS(supply_chain_data[[#This Row],[Forecast Demand]]-supply_chain_data[[#This Row],[Units Sold]])/supply_chain_data[[#This Row],[Forecast Demand]]))</f>
        <v>0.33999999999999997</v>
      </c>
      <c r="V42" s="4">
        <f>supply_chain_data[[#This Row],[Closing Stock]]/supply_chain_data[[#This Row],[Forecast Demand]]</f>
        <v>3.02</v>
      </c>
      <c r="W42">
        <v>29596</v>
      </c>
    </row>
    <row r="43" spans="1:23" x14ac:dyDescent="0.35">
      <c r="A43" t="s">
        <v>18</v>
      </c>
      <c r="B43" t="s">
        <v>19</v>
      </c>
      <c r="C43" t="s">
        <v>20</v>
      </c>
      <c r="D43" t="s">
        <v>31</v>
      </c>
      <c r="E43" t="s">
        <v>47</v>
      </c>
      <c r="F43" t="s">
        <v>30</v>
      </c>
      <c r="G43" s="3">
        <v>45333</v>
      </c>
      <c r="H43">
        <v>267</v>
      </c>
      <c r="I43">
        <v>5</v>
      </c>
      <c r="J43" t="str">
        <f>IF(supply_chain_data[[#This Row],[Units Sold]]&gt;supply_chain_data[[#This Row],[Opening Stock]],"Yes","No")</f>
        <v>No</v>
      </c>
      <c r="K43">
        <v>35</v>
      </c>
      <c r="L43">
        <f>supply_chain_data[[#This Row],[Opening Stock]]+supply_chain_data[[#This Row],[Units Received]]-supply_chain_data[[#This Row],[Units Sold]]</f>
        <v>297</v>
      </c>
      <c r="M43">
        <v>297</v>
      </c>
      <c r="N43">
        <v>81</v>
      </c>
      <c r="O43" s="2">
        <v>707</v>
      </c>
      <c r="P43">
        <v>11</v>
      </c>
      <c r="Q43">
        <v>10</v>
      </c>
      <c r="R4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3" t="s">
        <v>24</v>
      </c>
      <c r="T43">
        <v>31</v>
      </c>
      <c r="U43" s="5">
        <f>MAX(0,MIN(1,1-ABS(supply_chain_data[[#This Row],[Forecast Demand]]-supply_chain_data[[#This Row],[Units Sold]])/supply_chain_data[[#This Row],[Forecast Demand]]))</f>
        <v>0.16129032258064513</v>
      </c>
      <c r="V43" s="4">
        <f>supply_chain_data[[#This Row],[Closing Stock]]/supply_chain_data[[#This Row],[Forecast Demand]]</f>
        <v>9.5806451612903221</v>
      </c>
      <c r="W43">
        <v>209979</v>
      </c>
    </row>
    <row r="44" spans="1:23" hidden="1" x14ac:dyDescent="0.35">
      <c r="A44" t="s">
        <v>18</v>
      </c>
      <c r="B44" t="s">
        <v>19</v>
      </c>
      <c r="C44" t="s">
        <v>20</v>
      </c>
      <c r="D44" t="s">
        <v>39</v>
      </c>
      <c r="E44" t="s">
        <v>45</v>
      </c>
      <c r="F44" t="s">
        <v>23</v>
      </c>
      <c r="G44" s="3">
        <v>45334</v>
      </c>
      <c r="H44">
        <v>99</v>
      </c>
      <c r="I44">
        <v>38</v>
      </c>
      <c r="J44" t="str">
        <f>IF(supply_chain_data[[#This Row],[Units Sold]]&gt;supply_chain_data[[#This Row],[Opening Stock]],"Yes","No")</f>
        <v>No</v>
      </c>
      <c r="K44">
        <v>78</v>
      </c>
      <c r="L44">
        <f>supply_chain_data[[#This Row],[Opening Stock]]+supply_chain_data[[#This Row],[Units Received]]-supply_chain_data[[#This Row],[Units Sold]]</f>
        <v>139</v>
      </c>
      <c r="M44">
        <v>139</v>
      </c>
      <c r="N44">
        <v>51</v>
      </c>
      <c r="O44" s="2">
        <v>802</v>
      </c>
      <c r="P44">
        <v>6</v>
      </c>
      <c r="Q44">
        <v>7</v>
      </c>
      <c r="R4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4" t="s">
        <v>24</v>
      </c>
      <c r="T44">
        <v>60</v>
      </c>
      <c r="U44" s="5">
        <f>MAX(0,MIN(1,1-ABS(supply_chain_data[[#This Row],[Forecast Demand]]-supply_chain_data[[#This Row],[Units Sold]])/supply_chain_data[[#This Row],[Forecast Demand]]))</f>
        <v>0.6333333333333333</v>
      </c>
      <c r="V44" s="4">
        <f>supply_chain_data[[#This Row],[Closing Stock]]/supply_chain_data[[#This Row],[Forecast Demand]]</f>
        <v>2.3166666666666669</v>
      </c>
      <c r="W44">
        <v>111478</v>
      </c>
    </row>
    <row r="45" spans="1:23" hidden="1" x14ac:dyDescent="0.35">
      <c r="A45" t="s">
        <v>18</v>
      </c>
      <c r="B45" t="s">
        <v>19</v>
      </c>
      <c r="C45" t="s">
        <v>20</v>
      </c>
      <c r="D45" t="s">
        <v>31</v>
      </c>
      <c r="E45" t="s">
        <v>32</v>
      </c>
      <c r="F45" t="s">
        <v>23</v>
      </c>
      <c r="G45" s="3">
        <v>45335</v>
      </c>
      <c r="H45">
        <v>89</v>
      </c>
      <c r="I45">
        <v>44</v>
      </c>
      <c r="J45" t="str">
        <f>IF(supply_chain_data[[#This Row],[Units Sold]]&gt;supply_chain_data[[#This Row],[Opening Stock]],"Yes","No")</f>
        <v>No</v>
      </c>
      <c r="K45">
        <v>74</v>
      </c>
      <c r="L45">
        <f>supply_chain_data[[#This Row],[Opening Stock]]+supply_chain_data[[#This Row],[Units Received]]-supply_chain_data[[#This Row],[Units Sold]]</f>
        <v>119</v>
      </c>
      <c r="M45">
        <v>119</v>
      </c>
      <c r="N45">
        <v>72</v>
      </c>
      <c r="O45" s="2">
        <v>905</v>
      </c>
      <c r="P45">
        <v>5</v>
      </c>
      <c r="Q45">
        <v>4</v>
      </c>
      <c r="R4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5" t="s">
        <v>24</v>
      </c>
      <c r="T45">
        <v>51</v>
      </c>
      <c r="U45" s="5">
        <f>MAX(0,MIN(1,1-ABS(supply_chain_data[[#This Row],[Forecast Demand]]-supply_chain_data[[#This Row],[Units Sold]])/supply_chain_data[[#This Row],[Forecast Demand]]))</f>
        <v>0.86274509803921573</v>
      </c>
      <c r="V45" s="4">
        <f>supply_chain_data[[#This Row],[Closing Stock]]/supply_chain_data[[#This Row],[Forecast Demand]]</f>
        <v>2.3333333333333335</v>
      </c>
      <c r="W45">
        <v>107695</v>
      </c>
    </row>
    <row r="46" spans="1:23" hidden="1" x14ac:dyDescent="0.35">
      <c r="A46" t="s">
        <v>18</v>
      </c>
      <c r="B46" t="s">
        <v>19</v>
      </c>
      <c r="C46" t="s">
        <v>20</v>
      </c>
      <c r="D46" t="s">
        <v>43</v>
      </c>
      <c r="E46" t="s">
        <v>44</v>
      </c>
      <c r="F46" t="s">
        <v>33</v>
      </c>
      <c r="G46" s="3">
        <v>45336</v>
      </c>
      <c r="H46">
        <v>270</v>
      </c>
      <c r="I46">
        <v>50</v>
      </c>
      <c r="J46" t="str">
        <f>IF(supply_chain_data[[#This Row],[Units Sold]]&gt;supply_chain_data[[#This Row],[Opening Stock]],"Yes","No")</f>
        <v>No</v>
      </c>
      <c r="K46">
        <v>32</v>
      </c>
      <c r="L46">
        <f>supply_chain_data[[#This Row],[Opening Stock]]+supply_chain_data[[#This Row],[Units Received]]-supply_chain_data[[#This Row],[Units Sold]]</f>
        <v>252</v>
      </c>
      <c r="M46">
        <v>252</v>
      </c>
      <c r="N46">
        <v>79</v>
      </c>
      <c r="O46" s="2">
        <v>930</v>
      </c>
      <c r="P46">
        <v>6</v>
      </c>
      <c r="Q46">
        <v>9</v>
      </c>
      <c r="R4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6" t="s">
        <v>24</v>
      </c>
      <c r="T46">
        <v>68</v>
      </c>
      <c r="U46" s="5">
        <f>MAX(0,MIN(1,1-ABS(supply_chain_data[[#This Row],[Forecast Demand]]-supply_chain_data[[#This Row],[Units Sold]])/supply_chain_data[[#This Row],[Forecast Demand]]))</f>
        <v>0.73529411764705888</v>
      </c>
      <c r="V46" s="4">
        <f>supply_chain_data[[#This Row],[Closing Stock]]/supply_chain_data[[#This Row],[Forecast Demand]]</f>
        <v>3.7058823529411766</v>
      </c>
      <c r="W46">
        <v>234360</v>
      </c>
    </row>
    <row r="47" spans="1:23" x14ac:dyDescent="0.35">
      <c r="A47" t="s">
        <v>25</v>
      </c>
      <c r="B47" t="s">
        <v>26</v>
      </c>
      <c r="C47" t="s">
        <v>20</v>
      </c>
      <c r="D47" t="s">
        <v>39</v>
      </c>
      <c r="E47" t="s">
        <v>45</v>
      </c>
      <c r="F47" t="s">
        <v>33</v>
      </c>
      <c r="G47" s="3">
        <v>45337</v>
      </c>
      <c r="H47">
        <v>121</v>
      </c>
      <c r="I47">
        <v>45</v>
      </c>
      <c r="J47" t="str">
        <f>IF(supply_chain_data[[#This Row],[Units Sold]]&gt;supply_chain_data[[#This Row],[Opening Stock]],"Yes","No")</f>
        <v>No</v>
      </c>
      <c r="K47">
        <v>34</v>
      </c>
      <c r="L47">
        <f>supply_chain_data[[#This Row],[Opening Stock]]+supply_chain_data[[#This Row],[Units Received]]-supply_chain_data[[#This Row],[Units Sold]]</f>
        <v>110</v>
      </c>
      <c r="M47">
        <v>110</v>
      </c>
      <c r="N47">
        <v>87</v>
      </c>
      <c r="O47" s="2">
        <v>1231</v>
      </c>
      <c r="P47">
        <v>3</v>
      </c>
      <c r="Q47">
        <v>3</v>
      </c>
      <c r="R4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7" t="s">
        <v>24</v>
      </c>
      <c r="T47">
        <v>21</v>
      </c>
      <c r="U47" s="5">
        <f>MAX(0,MIN(1,1-ABS(supply_chain_data[[#This Row],[Forecast Demand]]-supply_chain_data[[#This Row],[Units Sold]])/supply_chain_data[[#This Row],[Forecast Demand]]))</f>
        <v>0</v>
      </c>
      <c r="V47" s="4">
        <f>supply_chain_data[[#This Row],[Closing Stock]]/supply_chain_data[[#This Row],[Forecast Demand]]</f>
        <v>5.2380952380952381</v>
      </c>
      <c r="W47">
        <v>135410</v>
      </c>
    </row>
    <row r="48" spans="1:23" x14ac:dyDescent="0.35">
      <c r="A48" t="s">
        <v>41</v>
      </c>
      <c r="B48" t="s">
        <v>42</v>
      </c>
      <c r="C48" t="s">
        <v>20</v>
      </c>
      <c r="D48" t="s">
        <v>37</v>
      </c>
      <c r="E48" t="s">
        <v>46</v>
      </c>
      <c r="F48" t="s">
        <v>33</v>
      </c>
      <c r="G48" s="3">
        <v>45338</v>
      </c>
      <c r="H48">
        <v>126</v>
      </c>
      <c r="I48">
        <v>12</v>
      </c>
      <c r="J48" t="str">
        <f>IF(supply_chain_data[[#This Row],[Units Sold]]&gt;supply_chain_data[[#This Row],[Opening Stock]],"Yes","No")</f>
        <v>No</v>
      </c>
      <c r="K48">
        <v>36</v>
      </c>
      <c r="L48">
        <f>supply_chain_data[[#This Row],[Opening Stock]]+supply_chain_data[[#This Row],[Units Received]]-supply_chain_data[[#This Row],[Units Sold]]</f>
        <v>150</v>
      </c>
      <c r="M48">
        <v>150</v>
      </c>
      <c r="N48">
        <v>62</v>
      </c>
      <c r="O48" s="2">
        <v>1279</v>
      </c>
      <c r="P48">
        <v>9</v>
      </c>
      <c r="Q48">
        <v>1</v>
      </c>
      <c r="R4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8" t="s">
        <v>24</v>
      </c>
      <c r="T48">
        <v>18</v>
      </c>
      <c r="U48" s="5">
        <f>MAX(0,MIN(1,1-ABS(supply_chain_data[[#This Row],[Forecast Demand]]-supply_chain_data[[#This Row],[Units Sold]])/supply_chain_data[[#This Row],[Forecast Demand]]))</f>
        <v>0.66666666666666674</v>
      </c>
      <c r="V48" s="4">
        <f>supply_chain_data[[#This Row],[Closing Stock]]/supply_chain_data[[#This Row],[Forecast Demand]]</f>
        <v>8.3333333333333339</v>
      </c>
      <c r="W48">
        <v>191850</v>
      </c>
    </row>
    <row r="49" spans="1:23" x14ac:dyDescent="0.35">
      <c r="A49" t="s">
        <v>25</v>
      </c>
      <c r="B49" t="s">
        <v>26</v>
      </c>
      <c r="C49" t="s">
        <v>20</v>
      </c>
      <c r="D49" t="s">
        <v>21</v>
      </c>
      <c r="E49" t="s">
        <v>22</v>
      </c>
      <c r="F49" t="s">
        <v>30</v>
      </c>
      <c r="G49" s="3">
        <v>45339</v>
      </c>
      <c r="H49">
        <v>143</v>
      </c>
      <c r="I49">
        <v>36</v>
      </c>
      <c r="J49" t="str">
        <f>IF(supply_chain_data[[#This Row],[Units Sold]]&gt;supply_chain_data[[#This Row],[Opening Stock]],"Yes","No")</f>
        <v>No</v>
      </c>
      <c r="K49">
        <v>32</v>
      </c>
      <c r="L49">
        <f>supply_chain_data[[#This Row],[Opening Stock]]+supply_chain_data[[#This Row],[Units Received]]-supply_chain_data[[#This Row],[Units Sold]]</f>
        <v>139</v>
      </c>
      <c r="M49">
        <v>139</v>
      </c>
      <c r="N49">
        <v>78</v>
      </c>
      <c r="O49" s="2">
        <v>678</v>
      </c>
      <c r="P49">
        <v>5</v>
      </c>
      <c r="Q49">
        <v>4</v>
      </c>
      <c r="R4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9" t="s">
        <v>24</v>
      </c>
      <c r="T49">
        <v>16</v>
      </c>
      <c r="U49" s="5">
        <f>MAX(0,MIN(1,1-ABS(supply_chain_data[[#This Row],[Forecast Demand]]-supply_chain_data[[#This Row],[Units Sold]])/supply_chain_data[[#This Row],[Forecast Demand]]))</f>
        <v>0</v>
      </c>
      <c r="V49" s="4">
        <f>supply_chain_data[[#This Row],[Closing Stock]]/supply_chain_data[[#This Row],[Forecast Demand]]</f>
        <v>8.6875</v>
      </c>
      <c r="W49">
        <v>94242</v>
      </c>
    </row>
    <row r="50" spans="1:23" x14ac:dyDescent="0.35">
      <c r="A50" t="s">
        <v>41</v>
      </c>
      <c r="B50" t="s">
        <v>42</v>
      </c>
      <c r="C50" t="s">
        <v>20</v>
      </c>
      <c r="D50" t="s">
        <v>31</v>
      </c>
      <c r="E50" t="s">
        <v>47</v>
      </c>
      <c r="F50" t="s">
        <v>23</v>
      </c>
      <c r="G50" s="3">
        <v>45340</v>
      </c>
      <c r="H50">
        <v>197</v>
      </c>
      <c r="I50">
        <v>55</v>
      </c>
      <c r="J50" t="str">
        <f>IF(supply_chain_data[[#This Row],[Units Sold]]&gt;supply_chain_data[[#This Row],[Opening Stock]],"Yes","No")</f>
        <v>No</v>
      </c>
      <c r="K50">
        <v>27</v>
      </c>
      <c r="L50">
        <f>supply_chain_data[[#This Row],[Opening Stock]]+supply_chain_data[[#This Row],[Units Received]]-supply_chain_data[[#This Row],[Units Sold]]</f>
        <v>169</v>
      </c>
      <c r="M50">
        <v>169</v>
      </c>
      <c r="N50">
        <v>86</v>
      </c>
      <c r="O50" s="2">
        <v>403</v>
      </c>
      <c r="P50">
        <v>10</v>
      </c>
      <c r="Q50">
        <v>6</v>
      </c>
      <c r="R5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50" t="s">
        <v>24</v>
      </c>
      <c r="T50">
        <v>20</v>
      </c>
      <c r="U50" s="5">
        <f>MAX(0,MIN(1,1-ABS(supply_chain_data[[#This Row],[Forecast Demand]]-supply_chain_data[[#This Row],[Units Sold]])/supply_chain_data[[#This Row],[Forecast Demand]]))</f>
        <v>0</v>
      </c>
      <c r="V50" s="4">
        <f>supply_chain_data[[#This Row],[Closing Stock]]/supply_chain_data[[#This Row],[Forecast Demand]]</f>
        <v>8.4499999999999993</v>
      </c>
      <c r="W50">
        <v>68107</v>
      </c>
    </row>
    <row r="51" spans="1:23" hidden="1" x14ac:dyDescent="0.35">
      <c r="A51" t="s">
        <v>28</v>
      </c>
      <c r="B51" t="s">
        <v>29</v>
      </c>
      <c r="C51" t="s">
        <v>20</v>
      </c>
      <c r="D51" t="s">
        <v>21</v>
      </c>
      <c r="E51" t="s">
        <v>22</v>
      </c>
      <c r="F51" t="s">
        <v>30</v>
      </c>
      <c r="G51" s="3">
        <v>45341</v>
      </c>
      <c r="H51">
        <v>142</v>
      </c>
      <c r="I51">
        <v>9</v>
      </c>
      <c r="J51" t="str">
        <f>IF(supply_chain_data[[#This Row],[Units Sold]]&gt;supply_chain_data[[#This Row],[Opening Stock]],"Yes","No")</f>
        <v>No</v>
      </c>
      <c r="K51">
        <v>47</v>
      </c>
      <c r="L51">
        <f>supply_chain_data[[#This Row],[Opening Stock]]+supply_chain_data[[#This Row],[Units Received]]-supply_chain_data[[#This Row],[Units Sold]]</f>
        <v>180</v>
      </c>
      <c r="M51">
        <v>180</v>
      </c>
      <c r="N51">
        <v>49</v>
      </c>
      <c r="O51" s="2">
        <v>1296</v>
      </c>
      <c r="P51">
        <v>12</v>
      </c>
      <c r="Q51">
        <v>2</v>
      </c>
      <c r="R5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51" t="s">
        <v>24</v>
      </c>
      <c r="T51">
        <v>67</v>
      </c>
      <c r="U51" s="5">
        <f>MAX(0,MIN(1,1-ABS(supply_chain_data[[#This Row],[Forecast Demand]]-supply_chain_data[[#This Row],[Units Sold]])/supply_chain_data[[#This Row],[Forecast Demand]]))</f>
        <v>0.13432835820895528</v>
      </c>
      <c r="V51" s="4">
        <f>supply_chain_data[[#This Row],[Closing Stock]]/supply_chain_data[[#This Row],[Forecast Demand]]</f>
        <v>2.6865671641791047</v>
      </c>
      <c r="W51">
        <v>233280</v>
      </c>
    </row>
    <row r="52" spans="1:23" x14ac:dyDescent="0.35">
      <c r="A52" t="s">
        <v>25</v>
      </c>
      <c r="B52" t="s">
        <v>26</v>
      </c>
      <c r="C52" t="s">
        <v>20</v>
      </c>
      <c r="D52" t="s">
        <v>31</v>
      </c>
      <c r="E52" t="s">
        <v>32</v>
      </c>
      <c r="F52" t="s">
        <v>30</v>
      </c>
      <c r="G52" s="3">
        <v>45342</v>
      </c>
      <c r="H52">
        <v>252</v>
      </c>
      <c r="I52">
        <v>42</v>
      </c>
      <c r="J52" t="str">
        <f>IF(supply_chain_data[[#This Row],[Units Sold]]&gt;supply_chain_data[[#This Row],[Opening Stock]],"Yes","No")</f>
        <v>No</v>
      </c>
      <c r="K52">
        <v>48</v>
      </c>
      <c r="L52">
        <f>supply_chain_data[[#This Row],[Opening Stock]]+supply_chain_data[[#This Row],[Units Received]]-supply_chain_data[[#This Row],[Units Sold]]</f>
        <v>258</v>
      </c>
      <c r="M52">
        <v>258</v>
      </c>
      <c r="N52">
        <v>59</v>
      </c>
      <c r="O52" s="2">
        <v>489</v>
      </c>
      <c r="P52">
        <v>14</v>
      </c>
      <c r="Q52">
        <v>10</v>
      </c>
      <c r="R5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52" t="s">
        <v>24</v>
      </c>
      <c r="T52">
        <v>39</v>
      </c>
      <c r="U52" s="5">
        <f>MAX(0,MIN(1,1-ABS(supply_chain_data[[#This Row],[Forecast Demand]]-supply_chain_data[[#This Row],[Units Sold]])/supply_chain_data[[#This Row],[Forecast Demand]]))</f>
        <v>0.92307692307692313</v>
      </c>
      <c r="V52" s="4">
        <f>supply_chain_data[[#This Row],[Closing Stock]]/supply_chain_data[[#This Row],[Forecast Demand]]</f>
        <v>6.615384615384615</v>
      </c>
      <c r="W52">
        <v>126162</v>
      </c>
    </row>
    <row r="53" spans="1:23" hidden="1" x14ac:dyDescent="0.35">
      <c r="A53" t="s">
        <v>41</v>
      </c>
      <c r="B53" t="s">
        <v>42</v>
      </c>
      <c r="C53" t="s">
        <v>20</v>
      </c>
      <c r="D53" t="s">
        <v>37</v>
      </c>
      <c r="E53" t="s">
        <v>46</v>
      </c>
      <c r="F53" t="s">
        <v>23</v>
      </c>
      <c r="G53" s="3">
        <v>45343</v>
      </c>
      <c r="H53">
        <v>129</v>
      </c>
      <c r="I53">
        <v>11</v>
      </c>
      <c r="J53" t="str">
        <f>IF(supply_chain_data[[#This Row],[Units Sold]]&gt;supply_chain_data[[#This Row],[Opening Stock]],"Yes","No")</f>
        <v>No</v>
      </c>
      <c r="K53">
        <v>54</v>
      </c>
      <c r="L53">
        <f>supply_chain_data[[#This Row],[Opening Stock]]+supply_chain_data[[#This Row],[Units Received]]-supply_chain_data[[#This Row],[Units Sold]]</f>
        <v>172</v>
      </c>
      <c r="M53">
        <v>172</v>
      </c>
      <c r="N53">
        <v>64</v>
      </c>
      <c r="O53" s="2">
        <v>154</v>
      </c>
      <c r="P53">
        <v>13</v>
      </c>
      <c r="Q53">
        <v>4</v>
      </c>
      <c r="R5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53" t="s">
        <v>24</v>
      </c>
      <c r="T53">
        <v>68</v>
      </c>
      <c r="U53" s="5">
        <f>MAX(0,MIN(1,1-ABS(supply_chain_data[[#This Row],[Forecast Demand]]-supply_chain_data[[#This Row],[Units Sold]])/supply_chain_data[[#This Row],[Forecast Demand]]))</f>
        <v>0.16176470588235292</v>
      </c>
      <c r="V53" s="4">
        <f>supply_chain_data[[#This Row],[Closing Stock]]/supply_chain_data[[#This Row],[Forecast Demand]]</f>
        <v>2.5294117647058822</v>
      </c>
      <c r="W53">
        <v>26488</v>
      </c>
    </row>
    <row r="54" spans="1:23" hidden="1" x14ac:dyDescent="0.35">
      <c r="A54" t="s">
        <v>18</v>
      </c>
      <c r="B54" t="s">
        <v>19</v>
      </c>
      <c r="C54" t="s">
        <v>20</v>
      </c>
      <c r="D54" t="s">
        <v>31</v>
      </c>
      <c r="E54" t="s">
        <v>32</v>
      </c>
      <c r="F54" t="s">
        <v>33</v>
      </c>
      <c r="G54" s="3">
        <v>45344</v>
      </c>
      <c r="H54">
        <v>232</v>
      </c>
      <c r="I54">
        <v>43</v>
      </c>
      <c r="J54" t="str">
        <f>IF(supply_chain_data[[#This Row],[Units Sold]]&gt;supply_chain_data[[#This Row],[Opening Stock]],"Yes","No")</f>
        <v>No</v>
      </c>
      <c r="K54">
        <v>45</v>
      </c>
      <c r="L54">
        <f>supply_chain_data[[#This Row],[Opening Stock]]+supply_chain_data[[#This Row],[Units Received]]-supply_chain_data[[#This Row],[Units Sold]]</f>
        <v>234</v>
      </c>
      <c r="M54">
        <v>234</v>
      </c>
      <c r="N54">
        <v>46</v>
      </c>
      <c r="O54" s="2">
        <v>462</v>
      </c>
      <c r="P54">
        <v>14</v>
      </c>
      <c r="Q54">
        <v>10</v>
      </c>
      <c r="R5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54" t="s">
        <v>24</v>
      </c>
      <c r="T54">
        <v>63</v>
      </c>
      <c r="U54" s="5">
        <f>MAX(0,MIN(1,1-ABS(supply_chain_data[[#This Row],[Forecast Demand]]-supply_chain_data[[#This Row],[Units Sold]])/supply_chain_data[[#This Row],[Forecast Demand]]))</f>
        <v>0.68253968253968256</v>
      </c>
      <c r="V54" s="4">
        <f>supply_chain_data[[#This Row],[Closing Stock]]/supply_chain_data[[#This Row],[Forecast Demand]]</f>
        <v>3.7142857142857144</v>
      </c>
      <c r="W54">
        <v>108108</v>
      </c>
    </row>
    <row r="55" spans="1:23" x14ac:dyDescent="0.35">
      <c r="A55" t="s">
        <v>41</v>
      </c>
      <c r="B55" t="s">
        <v>42</v>
      </c>
      <c r="C55" t="s">
        <v>20</v>
      </c>
      <c r="D55" t="s">
        <v>39</v>
      </c>
      <c r="E55" t="s">
        <v>40</v>
      </c>
      <c r="F55" t="s">
        <v>33</v>
      </c>
      <c r="G55" s="3">
        <v>45345</v>
      </c>
      <c r="H55">
        <v>285</v>
      </c>
      <c r="I55">
        <v>25</v>
      </c>
      <c r="J55" t="str">
        <f>IF(supply_chain_data[[#This Row],[Units Sold]]&gt;supply_chain_data[[#This Row],[Opening Stock]],"Yes","No")</f>
        <v>No</v>
      </c>
      <c r="K55">
        <v>45</v>
      </c>
      <c r="L55">
        <f>supply_chain_data[[#This Row],[Opening Stock]]+supply_chain_data[[#This Row],[Units Received]]-supply_chain_data[[#This Row],[Units Sold]]</f>
        <v>305</v>
      </c>
      <c r="M55">
        <v>305</v>
      </c>
      <c r="N55">
        <v>82</v>
      </c>
      <c r="O55" s="2">
        <v>786</v>
      </c>
      <c r="P55">
        <v>11</v>
      </c>
      <c r="Q55">
        <v>7</v>
      </c>
      <c r="R5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55" t="s">
        <v>24</v>
      </c>
      <c r="T55">
        <v>36</v>
      </c>
      <c r="U55" s="5">
        <f>MAX(0,MIN(1,1-ABS(supply_chain_data[[#This Row],[Forecast Demand]]-supply_chain_data[[#This Row],[Units Sold]])/supply_chain_data[[#This Row],[Forecast Demand]]))</f>
        <v>0.69444444444444442</v>
      </c>
      <c r="V55" s="4">
        <f>supply_chain_data[[#This Row],[Closing Stock]]/supply_chain_data[[#This Row],[Forecast Demand]]</f>
        <v>8.4722222222222214</v>
      </c>
      <c r="W55">
        <v>239730</v>
      </c>
    </row>
    <row r="56" spans="1:23" x14ac:dyDescent="0.35">
      <c r="A56" t="s">
        <v>28</v>
      </c>
      <c r="B56" t="s">
        <v>29</v>
      </c>
      <c r="C56" t="s">
        <v>20</v>
      </c>
      <c r="D56" t="s">
        <v>37</v>
      </c>
      <c r="E56" t="s">
        <v>38</v>
      </c>
      <c r="F56" t="s">
        <v>33</v>
      </c>
      <c r="G56" s="3">
        <v>45346</v>
      </c>
      <c r="H56">
        <v>149</v>
      </c>
      <c r="I56">
        <v>27</v>
      </c>
      <c r="J56" t="str">
        <f>IF(supply_chain_data[[#This Row],[Units Sold]]&gt;supply_chain_data[[#This Row],[Opening Stock]],"Yes","No")</f>
        <v>No</v>
      </c>
      <c r="K56">
        <v>23</v>
      </c>
      <c r="L56">
        <f>supply_chain_data[[#This Row],[Opening Stock]]+supply_chain_data[[#This Row],[Units Received]]-supply_chain_data[[#This Row],[Units Sold]]</f>
        <v>145</v>
      </c>
      <c r="M56">
        <v>145</v>
      </c>
      <c r="N56">
        <v>50</v>
      </c>
      <c r="O56" s="2">
        <v>1180</v>
      </c>
      <c r="P56">
        <v>12</v>
      </c>
      <c r="Q56">
        <v>3</v>
      </c>
      <c r="R5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56" t="s">
        <v>24</v>
      </c>
      <c r="T56">
        <v>11</v>
      </c>
      <c r="U56" s="5">
        <f>MAX(0,MIN(1,1-ABS(supply_chain_data[[#This Row],[Forecast Demand]]-supply_chain_data[[#This Row],[Units Sold]])/supply_chain_data[[#This Row],[Forecast Demand]]))</f>
        <v>0</v>
      </c>
      <c r="V56" s="4">
        <f>supply_chain_data[[#This Row],[Closing Stock]]/supply_chain_data[[#This Row],[Forecast Demand]]</f>
        <v>13.181818181818182</v>
      </c>
      <c r="W56">
        <v>171100</v>
      </c>
    </row>
    <row r="57" spans="1:23" x14ac:dyDescent="0.35">
      <c r="A57" t="s">
        <v>34</v>
      </c>
      <c r="B57" t="s">
        <v>35</v>
      </c>
      <c r="C57" t="s">
        <v>20</v>
      </c>
      <c r="D57" t="s">
        <v>37</v>
      </c>
      <c r="E57" t="s">
        <v>38</v>
      </c>
      <c r="F57" t="s">
        <v>33</v>
      </c>
      <c r="G57" s="3">
        <v>45347</v>
      </c>
      <c r="H57">
        <v>153</v>
      </c>
      <c r="I57">
        <v>41</v>
      </c>
      <c r="J57" t="str">
        <f>IF(supply_chain_data[[#This Row],[Units Sold]]&gt;supply_chain_data[[#This Row],[Opening Stock]],"Yes","No")</f>
        <v>No</v>
      </c>
      <c r="K57">
        <v>44</v>
      </c>
      <c r="L57">
        <f>supply_chain_data[[#This Row],[Opening Stock]]+supply_chain_data[[#This Row],[Units Received]]-supply_chain_data[[#This Row],[Units Sold]]</f>
        <v>156</v>
      </c>
      <c r="M57">
        <v>156</v>
      </c>
      <c r="N57">
        <v>51</v>
      </c>
      <c r="O57" s="2">
        <v>595</v>
      </c>
      <c r="P57">
        <v>2</v>
      </c>
      <c r="Q57">
        <v>10</v>
      </c>
      <c r="R5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57" t="s">
        <v>24</v>
      </c>
      <c r="T57">
        <v>24</v>
      </c>
      <c r="U57" s="5">
        <f>MAX(0,MIN(1,1-ABS(supply_chain_data[[#This Row],[Forecast Demand]]-supply_chain_data[[#This Row],[Units Sold]])/supply_chain_data[[#This Row],[Forecast Demand]]))</f>
        <v>0.29166666666666663</v>
      </c>
      <c r="V57" s="4">
        <f>supply_chain_data[[#This Row],[Closing Stock]]/supply_chain_data[[#This Row],[Forecast Demand]]</f>
        <v>6.5</v>
      </c>
      <c r="W57">
        <v>92820</v>
      </c>
    </row>
    <row r="58" spans="1:23" x14ac:dyDescent="0.35">
      <c r="A58" t="s">
        <v>34</v>
      </c>
      <c r="B58" t="s">
        <v>35</v>
      </c>
      <c r="C58" t="s">
        <v>20</v>
      </c>
      <c r="D58" t="s">
        <v>43</v>
      </c>
      <c r="E58" t="s">
        <v>44</v>
      </c>
      <c r="F58" t="s">
        <v>23</v>
      </c>
      <c r="G58" s="3">
        <v>45348</v>
      </c>
      <c r="H58">
        <v>115</v>
      </c>
      <c r="I58">
        <v>23</v>
      </c>
      <c r="J58" t="str">
        <f>IF(supply_chain_data[[#This Row],[Units Sold]]&gt;supply_chain_data[[#This Row],[Opening Stock]],"Yes","No")</f>
        <v>No</v>
      </c>
      <c r="K58">
        <v>30</v>
      </c>
      <c r="L58">
        <f>supply_chain_data[[#This Row],[Opening Stock]]+supply_chain_data[[#This Row],[Units Received]]-supply_chain_data[[#This Row],[Units Sold]]</f>
        <v>122</v>
      </c>
      <c r="M58">
        <v>122</v>
      </c>
      <c r="N58">
        <v>61</v>
      </c>
      <c r="O58" s="2">
        <v>710</v>
      </c>
      <c r="P58">
        <v>8</v>
      </c>
      <c r="Q58">
        <v>7</v>
      </c>
      <c r="R5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58" t="s">
        <v>24</v>
      </c>
      <c r="T58">
        <v>10</v>
      </c>
      <c r="U58" s="5">
        <f>MAX(0,MIN(1,1-ABS(supply_chain_data[[#This Row],[Forecast Demand]]-supply_chain_data[[#This Row],[Units Sold]])/supply_chain_data[[#This Row],[Forecast Demand]]))</f>
        <v>0</v>
      </c>
      <c r="V58" s="4">
        <f>supply_chain_data[[#This Row],[Closing Stock]]/supply_chain_data[[#This Row],[Forecast Demand]]</f>
        <v>12.2</v>
      </c>
      <c r="W58">
        <v>86620</v>
      </c>
    </row>
    <row r="59" spans="1:23" x14ac:dyDescent="0.35">
      <c r="A59" t="s">
        <v>34</v>
      </c>
      <c r="B59" t="s">
        <v>35</v>
      </c>
      <c r="C59" t="s">
        <v>20</v>
      </c>
      <c r="D59" t="s">
        <v>37</v>
      </c>
      <c r="E59" t="s">
        <v>38</v>
      </c>
      <c r="F59" t="s">
        <v>33</v>
      </c>
      <c r="G59" s="3">
        <v>45349</v>
      </c>
      <c r="H59">
        <v>252</v>
      </c>
      <c r="I59">
        <v>43</v>
      </c>
      <c r="J59" t="str">
        <f>IF(supply_chain_data[[#This Row],[Units Sold]]&gt;supply_chain_data[[#This Row],[Opening Stock]],"Yes","No")</f>
        <v>No</v>
      </c>
      <c r="K59">
        <v>49</v>
      </c>
      <c r="L59">
        <f>supply_chain_data[[#This Row],[Opening Stock]]+supply_chain_data[[#This Row],[Units Received]]-supply_chain_data[[#This Row],[Units Sold]]</f>
        <v>258</v>
      </c>
      <c r="M59">
        <v>258</v>
      </c>
      <c r="N59">
        <v>47</v>
      </c>
      <c r="O59" s="2">
        <v>231</v>
      </c>
      <c r="P59">
        <v>5</v>
      </c>
      <c r="Q59">
        <v>10</v>
      </c>
      <c r="R5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59" t="s">
        <v>24</v>
      </c>
      <c r="T59">
        <v>53</v>
      </c>
      <c r="U59" s="5">
        <f>MAX(0,MIN(1,1-ABS(supply_chain_data[[#This Row],[Forecast Demand]]-supply_chain_data[[#This Row],[Units Sold]])/supply_chain_data[[#This Row],[Forecast Demand]]))</f>
        <v>0.81132075471698117</v>
      </c>
      <c r="V59" s="4">
        <f>supply_chain_data[[#This Row],[Closing Stock]]/supply_chain_data[[#This Row],[Forecast Demand]]</f>
        <v>4.867924528301887</v>
      </c>
      <c r="W59">
        <v>59598</v>
      </c>
    </row>
    <row r="60" spans="1:23" hidden="1" x14ac:dyDescent="0.35">
      <c r="A60" t="s">
        <v>41</v>
      </c>
      <c r="B60" t="s">
        <v>42</v>
      </c>
      <c r="C60" t="s">
        <v>20</v>
      </c>
      <c r="D60" t="s">
        <v>43</v>
      </c>
      <c r="E60" t="s">
        <v>44</v>
      </c>
      <c r="F60" t="s">
        <v>33</v>
      </c>
      <c r="G60" s="3">
        <v>45350</v>
      </c>
      <c r="H60">
        <v>105</v>
      </c>
      <c r="I60">
        <v>16</v>
      </c>
      <c r="J60" t="str">
        <f>IF(supply_chain_data[[#This Row],[Units Sold]]&gt;supply_chain_data[[#This Row],[Opening Stock]],"Yes","No")</f>
        <v>No</v>
      </c>
      <c r="K60">
        <v>13</v>
      </c>
      <c r="L60">
        <f>supply_chain_data[[#This Row],[Opening Stock]]+supply_chain_data[[#This Row],[Units Received]]-supply_chain_data[[#This Row],[Units Sold]]</f>
        <v>102</v>
      </c>
      <c r="M60">
        <v>102</v>
      </c>
      <c r="N60">
        <v>49</v>
      </c>
      <c r="O60" s="2">
        <v>617</v>
      </c>
      <c r="P60">
        <v>14</v>
      </c>
      <c r="Q60">
        <v>3</v>
      </c>
      <c r="R6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60" t="s">
        <v>24</v>
      </c>
      <c r="T60">
        <v>65</v>
      </c>
      <c r="U60" s="5">
        <f>MAX(0,MIN(1,1-ABS(supply_chain_data[[#This Row],[Forecast Demand]]-supply_chain_data[[#This Row],[Units Sold]])/supply_chain_data[[#This Row],[Forecast Demand]]))</f>
        <v>0.24615384615384617</v>
      </c>
      <c r="V60" s="4">
        <f>supply_chain_data[[#This Row],[Closing Stock]]/supply_chain_data[[#This Row],[Forecast Demand]]</f>
        <v>1.5692307692307692</v>
      </c>
      <c r="W60">
        <v>62934</v>
      </c>
    </row>
    <row r="61" spans="1:23" x14ac:dyDescent="0.35">
      <c r="A61" t="s">
        <v>28</v>
      </c>
      <c r="B61" t="s">
        <v>29</v>
      </c>
      <c r="C61" t="s">
        <v>20</v>
      </c>
      <c r="D61" t="s">
        <v>21</v>
      </c>
      <c r="E61" t="s">
        <v>22</v>
      </c>
      <c r="F61" t="s">
        <v>23</v>
      </c>
      <c r="G61" s="3">
        <v>45351</v>
      </c>
      <c r="H61">
        <v>119</v>
      </c>
      <c r="I61">
        <v>44</v>
      </c>
      <c r="J61" t="str">
        <f>IF(supply_chain_data[[#This Row],[Units Sold]]&gt;supply_chain_data[[#This Row],[Opening Stock]],"Yes","No")</f>
        <v>No</v>
      </c>
      <c r="K61">
        <v>21</v>
      </c>
      <c r="L61">
        <f>supply_chain_data[[#This Row],[Opening Stock]]+supply_chain_data[[#This Row],[Units Received]]-supply_chain_data[[#This Row],[Units Sold]]</f>
        <v>96</v>
      </c>
      <c r="M61">
        <v>96</v>
      </c>
      <c r="N61">
        <v>69</v>
      </c>
      <c r="O61" s="2">
        <v>565</v>
      </c>
      <c r="P61">
        <v>8</v>
      </c>
      <c r="Q61">
        <v>0</v>
      </c>
      <c r="R6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61" t="s">
        <v>24</v>
      </c>
      <c r="T61">
        <v>22</v>
      </c>
      <c r="U61" s="5">
        <f>MAX(0,MIN(1,1-ABS(supply_chain_data[[#This Row],[Forecast Demand]]-supply_chain_data[[#This Row],[Units Sold]])/supply_chain_data[[#This Row],[Forecast Demand]]))</f>
        <v>0</v>
      </c>
      <c r="V61" s="4">
        <f>supply_chain_data[[#This Row],[Closing Stock]]/supply_chain_data[[#This Row],[Forecast Demand]]</f>
        <v>4.3636363636363633</v>
      </c>
      <c r="W61">
        <v>54240</v>
      </c>
    </row>
    <row r="62" spans="1:23" hidden="1" x14ac:dyDescent="0.35">
      <c r="A62" t="s">
        <v>28</v>
      </c>
      <c r="B62" t="s">
        <v>29</v>
      </c>
      <c r="C62" t="s">
        <v>20</v>
      </c>
      <c r="D62" t="s">
        <v>21</v>
      </c>
      <c r="E62" t="s">
        <v>22</v>
      </c>
      <c r="F62" t="s">
        <v>23</v>
      </c>
      <c r="G62" s="3">
        <v>45352</v>
      </c>
      <c r="H62">
        <v>141</v>
      </c>
      <c r="I62">
        <v>50</v>
      </c>
      <c r="J62" t="str">
        <f>IF(supply_chain_data[[#This Row],[Units Sold]]&gt;supply_chain_data[[#This Row],[Opening Stock]],"Yes","No")</f>
        <v>No</v>
      </c>
      <c r="K62">
        <v>34</v>
      </c>
      <c r="L62">
        <f>supply_chain_data[[#This Row],[Opening Stock]]+supply_chain_data[[#This Row],[Units Received]]-supply_chain_data[[#This Row],[Units Sold]]</f>
        <v>125</v>
      </c>
      <c r="M62">
        <v>125</v>
      </c>
      <c r="N62">
        <v>64</v>
      </c>
      <c r="O62" s="2">
        <v>1348</v>
      </c>
      <c r="P62">
        <v>3</v>
      </c>
      <c r="Q62">
        <v>7</v>
      </c>
      <c r="R6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62" t="s">
        <v>24</v>
      </c>
      <c r="T62">
        <v>65</v>
      </c>
      <c r="U62" s="5">
        <f>MAX(0,MIN(1,1-ABS(supply_chain_data[[#This Row],[Forecast Demand]]-supply_chain_data[[#This Row],[Units Sold]])/supply_chain_data[[#This Row],[Forecast Demand]]))</f>
        <v>0.76923076923076916</v>
      </c>
      <c r="V62" s="4">
        <f>supply_chain_data[[#This Row],[Closing Stock]]/supply_chain_data[[#This Row],[Forecast Demand]]</f>
        <v>1.9230769230769231</v>
      </c>
      <c r="W62">
        <v>168500</v>
      </c>
    </row>
    <row r="63" spans="1:23" x14ac:dyDescent="0.35">
      <c r="A63" t="s">
        <v>18</v>
      </c>
      <c r="B63" t="s">
        <v>19</v>
      </c>
      <c r="C63" t="s">
        <v>20</v>
      </c>
      <c r="D63" t="s">
        <v>21</v>
      </c>
      <c r="E63" t="s">
        <v>27</v>
      </c>
      <c r="F63" t="s">
        <v>33</v>
      </c>
      <c r="G63" s="3">
        <v>45353</v>
      </c>
      <c r="H63">
        <v>121</v>
      </c>
      <c r="I63">
        <v>41</v>
      </c>
      <c r="J63" t="str">
        <f>IF(supply_chain_data[[#This Row],[Units Sold]]&gt;supply_chain_data[[#This Row],[Opening Stock]],"Yes","No")</f>
        <v>No</v>
      </c>
      <c r="K63">
        <v>74</v>
      </c>
      <c r="L63">
        <f>supply_chain_data[[#This Row],[Opening Stock]]+supply_chain_data[[#This Row],[Units Received]]-supply_chain_data[[#This Row],[Units Sold]]</f>
        <v>154</v>
      </c>
      <c r="M63">
        <v>154</v>
      </c>
      <c r="N63">
        <v>95</v>
      </c>
      <c r="O63" s="2">
        <v>83</v>
      </c>
      <c r="P63">
        <v>8</v>
      </c>
      <c r="Q63">
        <v>9</v>
      </c>
      <c r="R6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63" t="s">
        <v>24</v>
      </c>
      <c r="T63">
        <v>19</v>
      </c>
      <c r="U63" s="5">
        <f>MAX(0,MIN(1,1-ABS(supply_chain_data[[#This Row],[Forecast Demand]]-supply_chain_data[[#This Row],[Units Sold]])/supply_chain_data[[#This Row],[Forecast Demand]]))</f>
        <v>0</v>
      </c>
      <c r="V63" s="4">
        <f>supply_chain_data[[#This Row],[Closing Stock]]/supply_chain_data[[#This Row],[Forecast Demand]]</f>
        <v>8.1052631578947363</v>
      </c>
      <c r="W63">
        <v>12782</v>
      </c>
    </row>
    <row r="64" spans="1:23" x14ac:dyDescent="0.35">
      <c r="A64" t="s">
        <v>25</v>
      </c>
      <c r="B64" t="s">
        <v>26</v>
      </c>
      <c r="C64" t="s">
        <v>20</v>
      </c>
      <c r="D64" t="s">
        <v>43</v>
      </c>
      <c r="E64" t="s">
        <v>44</v>
      </c>
      <c r="F64" t="s">
        <v>23</v>
      </c>
      <c r="G64" s="3">
        <v>45354</v>
      </c>
      <c r="H64">
        <v>261</v>
      </c>
      <c r="I64">
        <v>46</v>
      </c>
      <c r="J64" t="str">
        <f>IF(supply_chain_data[[#This Row],[Units Sold]]&gt;supply_chain_data[[#This Row],[Opening Stock]],"Yes","No")</f>
        <v>No</v>
      </c>
      <c r="K64">
        <v>74</v>
      </c>
      <c r="L64">
        <f>supply_chain_data[[#This Row],[Opening Stock]]+supply_chain_data[[#This Row],[Units Received]]-supply_chain_data[[#This Row],[Units Sold]]</f>
        <v>289</v>
      </c>
      <c r="M64">
        <v>289</v>
      </c>
      <c r="N64">
        <v>61</v>
      </c>
      <c r="O64" s="2">
        <v>1137</v>
      </c>
      <c r="P64">
        <v>9</v>
      </c>
      <c r="Q64">
        <v>2</v>
      </c>
      <c r="R6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64" t="s">
        <v>24</v>
      </c>
      <c r="T64">
        <v>56</v>
      </c>
      <c r="U64" s="5">
        <f>MAX(0,MIN(1,1-ABS(supply_chain_data[[#This Row],[Forecast Demand]]-supply_chain_data[[#This Row],[Units Sold]])/supply_chain_data[[#This Row],[Forecast Demand]]))</f>
        <v>0.8214285714285714</v>
      </c>
      <c r="V64" s="4">
        <f>supply_chain_data[[#This Row],[Closing Stock]]/supply_chain_data[[#This Row],[Forecast Demand]]</f>
        <v>5.1607142857142856</v>
      </c>
      <c r="W64">
        <v>328593</v>
      </c>
    </row>
    <row r="65" spans="1:23" x14ac:dyDescent="0.35">
      <c r="A65" t="s">
        <v>34</v>
      </c>
      <c r="B65" t="s">
        <v>35</v>
      </c>
      <c r="C65" t="s">
        <v>20</v>
      </c>
      <c r="D65" t="s">
        <v>37</v>
      </c>
      <c r="E65" t="s">
        <v>46</v>
      </c>
      <c r="F65" t="s">
        <v>30</v>
      </c>
      <c r="G65" s="3">
        <v>45355</v>
      </c>
      <c r="H65">
        <v>271</v>
      </c>
      <c r="I65">
        <v>33</v>
      </c>
      <c r="J65" t="str">
        <f>IF(supply_chain_data[[#This Row],[Units Sold]]&gt;supply_chain_data[[#This Row],[Opening Stock]],"Yes","No")</f>
        <v>No</v>
      </c>
      <c r="K65">
        <v>5</v>
      </c>
      <c r="L65">
        <f>supply_chain_data[[#This Row],[Opening Stock]]+supply_chain_data[[#This Row],[Units Received]]-supply_chain_data[[#This Row],[Units Sold]]</f>
        <v>243</v>
      </c>
      <c r="M65">
        <v>243</v>
      </c>
      <c r="N65">
        <v>69</v>
      </c>
      <c r="O65" s="2">
        <v>293</v>
      </c>
      <c r="P65">
        <v>8</v>
      </c>
      <c r="Q65">
        <v>2</v>
      </c>
      <c r="R6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65" t="s">
        <v>24</v>
      </c>
      <c r="T65">
        <v>51</v>
      </c>
      <c r="U65" s="5">
        <f>MAX(0,MIN(1,1-ABS(supply_chain_data[[#This Row],[Forecast Demand]]-supply_chain_data[[#This Row],[Units Sold]])/supply_chain_data[[#This Row],[Forecast Demand]]))</f>
        <v>0.64705882352941169</v>
      </c>
      <c r="V65" s="4">
        <f>supply_chain_data[[#This Row],[Closing Stock]]/supply_chain_data[[#This Row],[Forecast Demand]]</f>
        <v>4.7647058823529411</v>
      </c>
      <c r="W65">
        <v>71199</v>
      </c>
    </row>
    <row r="66" spans="1:23" hidden="1" x14ac:dyDescent="0.35">
      <c r="A66" t="s">
        <v>18</v>
      </c>
      <c r="B66" t="s">
        <v>19</v>
      </c>
      <c r="C66" t="s">
        <v>20</v>
      </c>
      <c r="D66" t="s">
        <v>21</v>
      </c>
      <c r="E66" t="s">
        <v>27</v>
      </c>
      <c r="F66" t="s">
        <v>30</v>
      </c>
      <c r="G66" s="3">
        <v>45356</v>
      </c>
      <c r="H66">
        <v>126</v>
      </c>
      <c r="I66">
        <v>53</v>
      </c>
      <c r="J66" t="str">
        <f>IF(supply_chain_data[[#This Row],[Units Sold]]&gt;supply_chain_data[[#This Row],[Opening Stock]],"Yes","No")</f>
        <v>No</v>
      </c>
      <c r="K66">
        <v>27</v>
      </c>
      <c r="L66">
        <f>supply_chain_data[[#This Row],[Opening Stock]]+supply_chain_data[[#This Row],[Units Received]]-supply_chain_data[[#This Row],[Units Sold]]</f>
        <v>100</v>
      </c>
      <c r="M66">
        <v>100</v>
      </c>
      <c r="N66">
        <v>81</v>
      </c>
      <c r="O66" s="2">
        <v>817</v>
      </c>
      <c r="P66">
        <v>4</v>
      </c>
      <c r="Q66">
        <v>3</v>
      </c>
      <c r="R6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66" t="s">
        <v>24</v>
      </c>
      <c r="T66">
        <v>60</v>
      </c>
      <c r="U66" s="5">
        <f>MAX(0,MIN(1,1-ABS(supply_chain_data[[#This Row],[Forecast Demand]]-supply_chain_data[[#This Row],[Units Sold]])/supply_chain_data[[#This Row],[Forecast Demand]]))</f>
        <v>0.8833333333333333</v>
      </c>
      <c r="V66" s="4">
        <f>supply_chain_data[[#This Row],[Closing Stock]]/supply_chain_data[[#This Row],[Forecast Demand]]</f>
        <v>1.6666666666666667</v>
      </c>
      <c r="W66">
        <v>81700</v>
      </c>
    </row>
    <row r="67" spans="1:23" hidden="1" x14ac:dyDescent="0.35">
      <c r="A67" t="s">
        <v>34</v>
      </c>
      <c r="B67" t="s">
        <v>35</v>
      </c>
      <c r="C67" t="s">
        <v>20</v>
      </c>
      <c r="D67" t="s">
        <v>21</v>
      </c>
      <c r="E67" t="s">
        <v>22</v>
      </c>
      <c r="F67" t="s">
        <v>30</v>
      </c>
      <c r="G67" s="3">
        <v>45357</v>
      </c>
      <c r="H67">
        <v>188</v>
      </c>
      <c r="I67">
        <v>20</v>
      </c>
      <c r="J67" t="str">
        <f>IF(supply_chain_data[[#This Row],[Units Sold]]&gt;supply_chain_data[[#This Row],[Opening Stock]],"Yes","No")</f>
        <v>No</v>
      </c>
      <c r="K67">
        <v>48</v>
      </c>
      <c r="L67">
        <f>supply_chain_data[[#This Row],[Opening Stock]]+supply_chain_data[[#This Row],[Units Received]]-supply_chain_data[[#This Row],[Units Sold]]</f>
        <v>216</v>
      </c>
      <c r="M67">
        <v>216</v>
      </c>
      <c r="N67">
        <v>46</v>
      </c>
      <c r="O67" s="2">
        <v>875</v>
      </c>
      <c r="P67">
        <v>12</v>
      </c>
      <c r="Q67">
        <v>9</v>
      </c>
      <c r="R6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67" t="s">
        <v>24</v>
      </c>
      <c r="T67">
        <v>56</v>
      </c>
      <c r="U67" s="5">
        <f>MAX(0,MIN(1,1-ABS(supply_chain_data[[#This Row],[Forecast Demand]]-supply_chain_data[[#This Row],[Units Sold]])/supply_chain_data[[#This Row],[Forecast Demand]]))</f>
        <v>0.3571428571428571</v>
      </c>
      <c r="V67" s="4">
        <f>supply_chain_data[[#This Row],[Closing Stock]]/supply_chain_data[[#This Row],[Forecast Demand]]</f>
        <v>3.8571428571428572</v>
      </c>
      <c r="W67">
        <v>189000</v>
      </c>
    </row>
    <row r="68" spans="1:23" x14ac:dyDescent="0.35">
      <c r="A68" t="s">
        <v>34</v>
      </c>
      <c r="B68" t="s">
        <v>35</v>
      </c>
      <c r="C68" t="s">
        <v>20</v>
      </c>
      <c r="D68" t="s">
        <v>37</v>
      </c>
      <c r="E68" t="s">
        <v>46</v>
      </c>
      <c r="F68" t="s">
        <v>30</v>
      </c>
      <c r="G68" s="3">
        <v>45358</v>
      </c>
      <c r="H68">
        <v>231</v>
      </c>
      <c r="I68">
        <v>59</v>
      </c>
      <c r="J68" t="str">
        <f>IF(supply_chain_data[[#This Row],[Units Sold]]&gt;supply_chain_data[[#This Row],[Opening Stock]],"Yes","No")</f>
        <v>No</v>
      </c>
      <c r="K68">
        <v>38</v>
      </c>
      <c r="L68">
        <f>supply_chain_data[[#This Row],[Opening Stock]]+supply_chain_data[[#This Row],[Units Received]]-supply_chain_data[[#This Row],[Units Sold]]</f>
        <v>210</v>
      </c>
      <c r="M68">
        <v>210</v>
      </c>
      <c r="N68">
        <v>82</v>
      </c>
      <c r="O68" s="2">
        <v>167</v>
      </c>
      <c r="P68">
        <v>10</v>
      </c>
      <c r="Q68">
        <v>9</v>
      </c>
      <c r="R6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68" t="s">
        <v>24</v>
      </c>
      <c r="T68">
        <v>44</v>
      </c>
      <c r="U68" s="5">
        <f>MAX(0,MIN(1,1-ABS(supply_chain_data[[#This Row],[Forecast Demand]]-supply_chain_data[[#This Row],[Units Sold]])/supply_chain_data[[#This Row],[Forecast Demand]]))</f>
        <v>0.65909090909090917</v>
      </c>
      <c r="V68" s="4">
        <f>supply_chain_data[[#This Row],[Closing Stock]]/supply_chain_data[[#This Row],[Forecast Demand]]</f>
        <v>4.7727272727272725</v>
      </c>
      <c r="W68">
        <v>35070</v>
      </c>
    </row>
    <row r="69" spans="1:23" hidden="1" x14ac:dyDescent="0.35">
      <c r="A69" t="s">
        <v>28</v>
      </c>
      <c r="B69" t="s">
        <v>29</v>
      </c>
      <c r="C69" t="s">
        <v>20</v>
      </c>
      <c r="D69" t="s">
        <v>21</v>
      </c>
      <c r="E69" t="s">
        <v>22</v>
      </c>
      <c r="F69" t="s">
        <v>30</v>
      </c>
      <c r="G69" s="3">
        <v>45359</v>
      </c>
      <c r="H69">
        <v>120</v>
      </c>
      <c r="I69">
        <v>8</v>
      </c>
      <c r="J69" t="str">
        <f>IF(supply_chain_data[[#This Row],[Units Sold]]&gt;supply_chain_data[[#This Row],[Opening Stock]],"Yes","No")</f>
        <v>No</v>
      </c>
      <c r="K69">
        <v>37</v>
      </c>
      <c r="L69">
        <f>supply_chain_data[[#This Row],[Opening Stock]]+supply_chain_data[[#This Row],[Units Received]]-supply_chain_data[[#This Row],[Units Sold]]</f>
        <v>149</v>
      </c>
      <c r="M69">
        <v>149</v>
      </c>
      <c r="N69">
        <v>90</v>
      </c>
      <c r="O69" s="2">
        <v>1469</v>
      </c>
      <c r="P69">
        <v>13</v>
      </c>
      <c r="Q69">
        <v>0</v>
      </c>
      <c r="R6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69" t="s">
        <v>24</v>
      </c>
      <c r="T69">
        <v>41</v>
      </c>
      <c r="U69" s="5">
        <f>MAX(0,MIN(1,1-ABS(supply_chain_data[[#This Row],[Forecast Demand]]-supply_chain_data[[#This Row],[Units Sold]])/supply_chain_data[[#This Row],[Forecast Demand]]))</f>
        <v>0.19512195121951215</v>
      </c>
      <c r="V69" s="4">
        <f>supply_chain_data[[#This Row],[Closing Stock]]/supply_chain_data[[#This Row],[Forecast Demand]]</f>
        <v>3.6341463414634148</v>
      </c>
      <c r="W69">
        <v>218881</v>
      </c>
    </row>
    <row r="70" spans="1:23" x14ac:dyDescent="0.35">
      <c r="A70" t="s">
        <v>34</v>
      </c>
      <c r="B70" t="s">
        <v>35</v>
      </c>
      <c r="C70" t="s">
        <v>20</v>
      </c>
      <c r="D70" t="s">
        <v>21</v>
      </c>
      <c r="E70" t="s">
        <v>27</v>
      </c>
      <c r="F70" t="s">
        <v>23</v>
      </c>
      <c r="G70" s="3">
        <v>45360</v>
      </c>
      <c r="H70">
        <v>269</v>
      </c>
      <c r="I70">
        <v>51</v>
      </c>
      <c r="J70" t="str">
        <f>IF(supply_chain_data[[#This Row],[Units Sold]]&gt;supply_chain_data[[#This Row],[Opening Stock]],"Yes","No")</f>
        <v>No</v>
      </c>
      <c r="K70">
        <v>69</v>
      </c>
      <c r="L70">
        <f>supply_chain_data[[#This Row],[Opening Stock]]+supply_chain_data[[#This Row],[Units Received]]-supply_chain_data[[#This Row],[Units Sold]]</f>
        <v>287</v>
      </c>
      <c r="M70">
        <v>287</v>
      </c>
      <c r="N70">
        <v>53</v>
      </c>
      <c r="O70" s="2">
        <v>406</v>
      </c>
      <c r="P70">
        <v>11</v>
      </c>
      <c r="Q70">
        <v>10</v>
      </c>
      <c r="R7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70" t="s">
        <v>24</v>
      </c>
      <c r="T70">
        <v>29</v>
      </c>
      <c r="U70" s="5">
        <f>MAX(0,MIN(1,1-ABS(supply_chain_data[[#This Row],[Forecast Demand]]-supply_chain_data[[#This Row],[Units Sold]])/supply_chain_data[[#This Row],[Forecast Demand]]))</f>
        <v>0.24137931034482762</v>
      </c>
      <c r="V70" s="4">
        <f>supply_chain_data[[#This Row],[Closing Stock]]/supply_chain_data[[#This Row],[Forecast Demand]]</f>
        <v>9.8965517241379306</v>
      </c>
      <c r="W70">
        <v>116522</v>
      </c>
    </row>
    <row r="71" spans="1:23" x14ac:dyDescent="0.35">
      <c r="A71" t="s">
        <v>34</v>
      </c>
      <c r="B71" t="s">
        <v>35</v>
      </c>
      <c r="C71" t="s">
        <v>20</v>
      </c>
      <c r="D71" t="s">
        <v>43</v>
      </c>
      <c r="E71" t="s">
        <v>44</v>
      </c>
      <c r="F71" t="s">
        <v>30</v>
      </c>
      <c r="G71" s="3">
        <v>45361</v>
      </c>
      <c r="H71">
        <v>251</v>
      </c>
      <c r="I71">
        <v>21</v>
      </c>
      <c r="J71" t="str">
        <f>IF(supply_chain_data[[#This Row],[Units Sold]]&gt;supply_chain_data[[#This Row],[Opening Stock]],"Yes","No")</f>
        <v>No</v>
      </c>
      <c r="K71">
        <v>50</v>
      </c>
      <c r="L71">
        <f>supply_chain_data[[#This Row],[Opening Stock]]+supply_chain_data[[#This Row],[Units Received]]-supply_chain_data[[#This Row],[Units Sold]]</f>
        <v>280</v>
      </c>
      <c r="M71">
        <v>280</v>
      </c>
      <c r="N71">
        <v>44</v>
      </c>
      <c r="O71" s="2">
        <v>1191</v>
      </c>
      <c r="P71">
        <v>5</v>
      </c>
      <c r="Q71">
        <v>4</v>
      </c>
      <c r="R7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71" t="s">
        <v>24</v>
      </c>
      <c r="T71">
        <v>28</v>
      </c>
      <c r="U71" s="5">
        <f>MAX(0,MIN(1,1-ABS(supply_chain_data[[#This Row],[Forecast Demand]]-supply_chain_data[[#This Row],[Units Sold]])/supply_chain_data[[#This Row],[Forecast Demand]]))</f>
        <v>0.75</v>
      </c>
      <c r="V71" s="4">
        <f>supply_chain_data[[#This Row],[Closing Stock]]/supply_chain_data[[#This Row],[Forecast Demand]]</f>
        <v>10</v>
      </c>
      <c r="W71">
        <v>333480</v>
      </c>
    </row>
    <row r="72" spans="1:23" hidden="1" x14ac:dyDescent="0.35">
      <c r="A72" t="s">
        <v>18</v>
      </c>
      <c r="B72" t="s">
        <v>19</v>
      </c>
      <c r="C72" t="s">
        <v>20</v>
      </c>
      <c r="D72" t="s">
        <v>43</v>
      </c>
      <c r="E72" t="s">
        <v>44</v>
      </c>
      <c r="F72" t="s">
        <v>23</v>
      </c>
      <c r="G72" s="3">
        <v>45362</v>
      </c>
      <c r="H72">
        <v>156</v>
      </c>
      <c r="I72">
        <v>21</v>
      </c>
      <c r="J72" t="str">
        <f>IF(supply_chain_data[[#This Row],[Units Sold]]&gt;supply_chain_data[[#This Row],[Opening Stock]],"Yes","No")</f>
        <v>No</v>
      </c>
      <c r="K72">
        <v>55</v>
      </c>
      <c r="L72">
        <f>supply_chain_data[[#This Row],[Opening Stock]]+supply_chain_data[[#This Row],[Units Received]]-supply_chain_data[[#This Row],[Units Sold]]</f>
        <v>190</v>
      </c>
      <c r="M72">
        <v>190</v>
      </c>
      <c r="N72">
        <v>77</v>
      </c>
      <c r="O72" s="2">
        <v>999</v>
      </c>
      <c r="P72">
        <v>10</v>
      </c>
      <c r="Q72">
        <v>1</v>
      </c>
      <c r="R7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72" t="s">
        <v>24</v>
      </c>
      <c r="T72">
        <v>61</v>
      </c>
      <c r="U72" s="5">
        <f>MAX(0,MIN(1,1-ABS(supply_chain_data[[#This Row],[Forecast Demand]]-supply_chain_data[[#This Row],[Units Sold]])/supply_chain_data[[#This Row],[Forecast Demand]]))</f>
        <v>0.34426229508196726</v>
      </c>
      <c r="V72" s="4">
        <f>supply_chain_data[[#This Row],[Closing Stock]]/supply_chain_data[[#This Row],[Forecast Demand]]</f>
        <v>3.1147540983606556</v>
      </c>
      <c r="W72">
        <v>189810</v>
      </c>
    </row>
    <row r="73" spans="1:23" hidden="1" x14ac:dyDescent="0.35">
      <c r="A73" t="s">
        <v>18</v>
      </c>
      <c r="B73" t="s">
        <v>19</v>
      </c>
      <c r="C73" t="s">
        <v>20</v>
      </c>
      <c r="D73" t="s">
        <v>21</v>
      </c>
      <c r="E73" t="s">
        <v>27</v>
      </c>
      <c r="F73" t="s">
        <v>23</v>
      </c>
      <c r="G73" s="3">
        <v>45363</v>
      </c>
      <c r="H73">
        <v>85</v>
      </c>
      <c r="I73">
        <v>5</v>
      </c>
      <c r="J73" t="str">
        <f>IF(supply_chain_data[[#This Row],[Units Sold]]&gt;supply_chain_data[[#This Row],[Opening Stock]],"Yes","No")</f>
        <v>No</v>
      </c>
      <c r="K73">
        <v>1</v>
      </c>
      <c r="L73">
        <f>supply_chain_data[[#This Row],[Opening Stock]]+supply_chain_data[[#This Row],[Units Received]]-supply_chain_data[[#This Row],[Units Sold]]</f>
        <v>81</v>
      </c>
      <c r="M73">
        <v>81</v>
      </c>
      <c r="N73">
        <v>54</v>
      </c>
      <c r="O73" s="2">
        <v>548</v>
      </c>
      <c r="P73">
        <v>12</v>
      </c>
      <c r="Q73">
        <v>2</v>
      </c>
      <c r="R7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73" t="s">
        <v>24</v>
      </c>
      <c r="T73">
        <v>29</v>
      </c>
      <c r="U73" s="5">
        <f>MAX(0,MIN(1,1-ABS(supply_chain_data[[#This Row],[Forecast Demand]]-supply_chain_data[[#This Row],[Units Sold]])/supply_chain_data[[#This Row],[Forecast Demand]]))</f>
        <v>0.17241379310344829</v>
      </c>
      <c r="V73" s="4">
        <f>supply_chain_data[[#This Row],[Closing Stock]]/supply_chain_data[[#This Row],[Forecast Demand]]</f>
        <v>2.7931034482758621</v>
      </c>
      <c r="W73">
        <v>44388</v>
      </c>
    </row>
    <row r="74" spans="1:23" hidden="1" x14ac:dyDescent="0.35">
      <c r="A74" t="s">
        <v>41</v>
      </c>
      <c r="B74" t="s">
        <v>42</v>
      </c>
      <c r="C74" t="s">
        <v>20</v>
      </c>
      <c r="D74" t="s">
        <v>21</v>
      </c>
      <c r="E74" t="s">
        <v>27</v>
      </c>
      <c r="F74" t="s">
        <v>30</v>
      </c>
      <c r="G74" s="3">
        <v>45364</v>
      </c>
      <c r="H74">
        <v>197</v>
      </c>
      <c r="I74">
        <v>7</v>
      </c>
      <c r="J74" t="str">
        <f>IF(supply_chain_data[[#This Row],[Units Sold]]&gt;supply_chain_data[[#This Row],[Opening Stock]],"Yes","No")</f>
        <v>No</v>
      </c>
      <c r="K74">
        <v>20</v>
      </c>
      <c r="L74">
        <f>supply_chain_data[[#This Row],[Opening Stock]]+supply_chain_data[[#This Row],[Units Received]]-supply_chain_data[[#This Row],[Units Sold]]</f>
        <v>210</v>
      </c>
      <c r="M74">
        <v>210</v>
      </c>
      <c r="N74">
        <v>54</v>
      </c>
      <c r="O74" s="2">
        <v>179</v>
      </c>
      <c r="P74">
        <v>14</v>
      </c>
      <c r="Q74">
        <v>1</v>
      </c>
      <c r="R7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74" t="s">
        <v>24</v>
      </c>
      <c r="T74">
        <v>65</v>
      </c>
      <c r="U74" s="5">
        <f>MAX(0,MIN(1,1-ABS(supply_chain_data[[#This Row],[Forecast Demand]]-supply_chain_data[[#This Row],[Units Sold]])/supply_chain_data[[#This Row],[Forecast Demand]]))</f>
        <v>0.10769230769230764</v>
      </c>
      <c r="V74" s="4">
        <f>supply_chain_data[[#This Row],[Closing Stock]]/supply_chain_data[[#This Row],[Forecast Demand]]</f>
        <v>3.2307692307692308</v>
      </c>
      <c r="W74">
        <v>37590</v>
      </c>
    </row>
    <row r="75" spans="1:23" hidden="1" x14ac:dyDescent="0.35">
      <c r="A75" t="s">
        <v>41</v>
      </c>
      <c r="B75" t="s">
        <v>42</v>
      </c>
      <c r="C75" t="s">
        <v>20</v>
      </c>
      <c r="D75" t="s">
        <v>21</v>
      </c>
      <c r="E75" t="s">
        <v>22</v>
      </c>
      <c r="F75" t="s">
        <v>30</v>
      </c>
      <c r="G75" s="3">
        <v>45365</v>
      </c>
      <c r="H75">
        <v>203</v>
      </c>
      <c r="I75">
        <v>46</v>
      </c>
      <c r="J75" t="str">
        <f>IF(supply_chain_data[[#This Row],[Units Sold]]&gt;supply_chain_data[[#This Row],[Opening Stock]],"Yes","No")</f>
        <v>No</v>
      </c>
      <c r="K75">
        <v>44</v>
      </c>
      <c r="L75">
        <f>supply_chain_data[[#This Row],[Opening Stock]]+supply_chain_data[[#This Row],[Units Received]]-supply_chain_data[[#This Row],[Units Sold]]</f>
        <v>201</v>
      </c>
      <c r="M75">
        <v>201</v>
      </c>
      <c r="N75">
        <v>46</v>
      </c>
      <c r="O75" s="2">
        <v>643</v>
      </c>
      <c r="P75">
        <v>13</v>
      </c>
      <c r="Q75">
        <v>0</v>
      </c>
      <c r="R7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75" t="s">
        <v>24</v>
      </c>
      <c r="T75">
        <v>65</v>
      </c>
      <c r="U75" s="5">
        <f>MAX(0,MIN(1,1-ABS(supply_chain_data[[#This Row],[Forecast Demand]]-supply_chain_data[[#This Row],[Units Sold]])/supply_chain_data[[#This Row],[Forecast Demand]]))</f>
        <v>0.70769230769230762</v>
      </c>
      <c r="V75" s="4">
        <f>supply_chain_data[[#This Row],[Closing Stock]]/supply_chain_data[[#This Row],[Forecast Demand]]</f>
        <v>3.0923076923076924</v>
      </c>
      <c r="W75">
        <v>129243</v>
      </c>
    </row>
    <row r="76" spans="1:23" x14ac:dyDescent="0.35">
      <c r="A76" t="s">
        <v>41</v>
      </c>
      <c r="B76" t="s">
        <v>42</v>
      </c>
      <c r="C76" t="s">
        <v>20</v>
      </c>
      <c r="D76" t="s">
        <v>37</v>
      </c>
      <c r="E76" t="s">
        <v>46</v>
      </c>
      <c r="F76" t="s">
        <v>23</v>
      </c>
      <c r="G76" s="3">
        <v>45366</v>
      </c>
      <c r="H76">
        <v>184</v>
      </c>
      <c r="I76">
        <v>27</v>
      </c>
      <c r="J76" t="str">
        <f>IF(supply_chain_data[[#This Row],[Units Sold]]&gt;supply_chain_data[[#This Row],[Opening Stock]],"Yes","No")</f>
        <v>No</v>
      </c>
      <c r="K76">
        <v>30</v>
      </c>
      <c r="L76">
        <f>supply_chain_data[[#This Row],[Opening Stock]]+supply_chain_data[[#This Row],[Units Received]]-supply_chain_data[[#This Row],[Units Sold]]</f>
        <v>187</v>
      </c>
      <c r="M76">
        <v>187</v>
      </c>
      <c r="N76">
        <v>45</v>
      </c>
      <c r="O76" s="2">
        <v>1398</v>
      </c>
      <c r="P76">
        <v>3</v>
      </c>
      <c r="Q76">
        <v>10</v>
      </c>
      <c r="R7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76" t="s">
        <v>24</v>
      </c>
      <c r="T76">
        <v>21</v>
      </c>
      <c r="U76" s="5">
        <f>MAX(0,MIN(1,1-ABS(supply_chain_data[[#This Row],[Forecast Demand]]-supply_chain_data[[#This Row],[Units Sold]])/supply_chain_data[[#This Row],[Forecast Demand]]))</f>
        <v>0.7142857142857143</v>
      </c>
      <c r="V76" s="4">
        <f>supply_chain_data[[#This Row],[Closing Stock]]/supply_chain_data[[#This Row],[Forecast Demand]]</f>
        <v>8.9047619047619051</v>
      </c>
      <c r="W76">
        <v>261426</v>
      </c>
    </row>
    <row r="77" spans="1:23" x14ac:dyDescent="0.35">
      <c r="A77" t="s">
        <v>28</v>
      </c>
      <c r="B77" t="s">
        <v>29</v>
      </c>
      <c r="C77" t="s">
        <v>20</v>
      </c>
      <c r="D77" t="s">
        <v>31</v>
      </c>
      <c r="E77" t="s">
        <v>47</v>
      </c>
      <c r="F77" t="s">
        <v>23</v>
      </c>
      <c r="G77" s="3">
        <v>45367</v>
      </c>
      <c r="H77">
        <v>223</v>
      </c>
      <c r="I77">
        <v>29</v>
      </c>
      <c r="J77" t="str">
        <f>IF(supply_chain_data[[#This Row],[Units Sold]]&gt;supply_chain_data[[#This Row],[Opening Stock]],"Yes","No")</f>
        <v>No</v>
      </c>
      <c r="K77">
        <v>55</v>
      </c>
      <c r="L77">
        <f>supply_chain_data[[#This Row],[Opening Stock]]+supply_chain_data[[#This Row],[Units Received]]-supply_chain_data[[#This Row],[Units Sold]]</f>
        <v>249</v>
      </c>
      <c r="M77">
        <v>249</v>
      </c>
      <c r="N77">
        <v>86</v>
      </c>
      <c r="O77" s="2">
        <v>881</v>
      </c>
      <c r="P77">
        <v>13</v>
      </c>
      <c r="Q77">
        <v>2</v>
      </c>
      <c r="R7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77" t="s">
        <v>24</v>
      </c>
      <c r="T77">
        <v>30</v>
      </c>
      <c r="U77" s="5">
        <f>MAX(0,MIN(1,1-ABS(supply_chain_data[[#This Row],[Forecast Demand]]-supply_chain_data[[#This Row],[Units Sold]])/supply_chain_data[[#This Row],[Forecast Demand]]))</f>
        <v>0.96666666666666667</v>
      </c>
      <c r="V77" s="4">
        <f>supply_chain_data[[#This Row],[Closing Stock]]/supply_chain_data[[#This Row],[Forecast Demand]]</f>
        <v>8.3000000000000007</v>
      </c>
      <c r="W77">
        <v>219369</v>
      </c>
    </row>
    <row r="78" spans="1:23" hidden="1" x14ac:dyDescent="0.35">
      <c r="A78" t="s">
        <v>18</v>
      </c>
      <c r="B78" t="s">
        <v>19</v>
      </c>
      <c r="C78" t="s">
        <v>20</v>
      </c>
      <c r="D78" t="s">
        <v>31</v>
      </c>
      <c r="E78" t="s">
        <v>32</v>
      </c>
      <c r="F78" t="s">
        <v>33</v>
      </c>
      <c r="G78" s="3">
        <v>45368</v>
      </c>
      <c r="H78">
        <v>76</v>
      </c>
      <c r="I78">
        <v>53</v>
      </c>
      <c r="J78" t="str">
        <f>IF(supply_chain_data[[#This Row],[Units Sold]]&gt;supply_chain_data[[#This Row],[Opening Stock]],"Yes","No")</f>
        <v>No</v>
      </c>
      <c r="K78">
        <v>35</v>
      </c>
      <c r="L78">
        <f>supply_chain_data[[#This Row],[Opening Stock]]+supply_chain_data[[#This Row],[Units Received]]-supply_chain_data[[#This Row],[Units Sold]]</f>
        <v>58</v>
      </c>
      <c r="M78">
        <v>58</v>
      </c>
      <c r="N78">
        <v>90</v>
      </c>
      <c r="O78" s="2">
        <v>1427</v>
      </c>
      <c r="P78">
        <v>7</v>
      </c>
      <c r="Q78">
        <v>3</v>
      </c>
      <c r="R7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78" t="s">
        <v>36</v>
      </c>
      <c r="T78">
        <v>44</v>
      </c>
      <c r="U78" s="5">
        <f>MAX(0,MIN(1,1-ABS(supply_chain_data[[#This Row],[Forecast Demand]]-supply_chain_data[[#This Row],[Units Sold]])/supply_chain_data[[#This Row],[Forecast Demand]]))</f>
        <v>0.79545454545454541</v>
      </c>
      <c r="V78" s="4">
        <f>supply_chain_data[[#This Row],[Closing Stock]]/supply_chain_data[[#This Row],[Forecast Demand]]</f>
        <v>1.3181818181818181</v>
      </c>
      <c r="W78">
        <v>82766</v>
      </c>
    </row>
    <row r="79" spans="1:23" x14ac:dyDescent="0.35">
      <c r="A79" t="s">
        <v>41</v>
      </c>
      <c r="B79" t="s">
        <v>42</v>
      </c>
      <c r="C79" t="s">
        <v>20</v>
      </c>
      <c r="D79" t="s">
        <v>21</v>
      </c>
      <c r="E79" t="s">
        <v>22</v>
      </c>
      <c r="F79" t="s">
        <v>23</v>
      </c>
      <c r="G79" s="3">
        <v>45369</v>
      </c>
      <c r="H79">
        <v>196</v>
      </c>
      <c r="I79">
        <v>13</v>
      </c>
      <c r="J79" t="str">
        <f>IF(supply_chain_data[[#This Row],[Units Sold]]&gt;supply_chain_data[[#This Row],[Opening Stock]],"Yes","No")</f>
        <v>No</v>
      </c>
      <c r="K79">
        <v>77</v>
      </c>
      <c r="L79">
        <f>supply_chain_data[[#This Row],[Opening Stock]]+supply_chain_data[[#This Row],[Units Received]]-supply_chain_data[[#This Row],[Units Sold]]</f>
        <v>260</v>
      </c>
      <c r="M79">
        <v>260</v>
      </c>
      <c r="N79">
        <v>82</v>
      </c>
      <c r="O79" s="2">
        <v>342</v>
      </c>
      <c r="P79">
        <v>7</v>
      </c>
      <c r="Q79">
        <v>2</v>
      </c>
      <c r="R7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79" t="s">
        <v>24</v>
      </c>
      <c r="T79">
        <v>40</v>
      </c>
      <c r="U79" s="5">
        <f>MAX(0,MIN(1,1-ABS(supply_chain_data[[#This Row],[Forecast Demand]]-supply_chain_data[[#This Row],[Units Sold]])/supply_chain_data[[#This Row],[Forecast Demand]]))</f>
        <v>0.32499999999999996</v>
      </c>
      <c r="V79" s="4">
        <f>supply_chain_data[[#This Row],[Closing Stock]]/supply_chain_data[[#This Row],[Forecast Demand]]</f>
        <v>6.5</v>
      </c>
      <c r="W79">
        <v>88920</v>
      </c>
    </row>
    <row r="80" spans="1:23" x14ac:dyDescent="0.35">
      <c r="A80" t="s">
        <v>41</v>
      </c>
      <c r="B80" t="s">
        <v>42</v>
      </c>
      <c r="C80" t="s">
        <v>20</v>
      </c>
      <c r="D80" t="s">
        <v>43</v>
      </c>
      <c r="E80" t="s">
        <v>44</v>
      </c>
      <c r="F80" t="s">
        <v>23</v>
      </c>
      <c r="G80" s="3">
        <v>45370</v>
      </c>
      <c r="H80">
        <v>200</v>
      </c>
      <c r="I80">
        <v>28</v>
      </c>
      <c r="J80" t="str">
        <f>IF(supply_chain_data[[#This Row],[Units Sold]]&gt;supply_chain_data[[#This Row],[Opening Stock]],"Yes","No")</f>
        <v>No</v>
      </c>
      <c r="K80">
        <v>35</v>
      </c>
      <c r="L80">
        <f>supply_chain_data[[#This Row],[Opening Stock]]+supply_chain_data[[#This Row],[Units Received]]-supply_chain_data[[#This Row],[Units Sold]]</f>
        <v>207</v>
      </c>
      <c r="M80">
        <v>207</v>
      </c>
      <c r="N80">
        <v>52</v>
      </c>
      <c r="O80" s="2">
        <v>120</v>
      </c>
      <c r="P80">
        <v>8</v>
      </c>
      <c r="Q80">
        <v>4</v>
      </c>
      <c r="R8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80" t="s">
        <v>24</v>
      </c>
      <c r="T80">
        <v>11</v>
      </c>
      <c r="U80" s="5">
        <f>MAX(0,MIN(1,1-ABS(supply_chain_data[[#This Row],[Forecast Demand]]-supply_chain_data[[#This Row],[Units Sold]])/supply_chain_data[[#This Row],[Forecast Demand]]))</f>
        <v>0</v>
      </c>
      <c r="V80" s="4">
        <f>supply_chain_data[[#This Row],[Closing Stock]]/supply_chain_data[[#This Row],[Forecast Demand]]</f>
        <v>18.818181818181817</v>
      </c>
      <c r="W80">
        <v>24840</v>
      </c>
    </row>
    <row r="81" spans="1:23" x14ac:dyDescent="0.35">
      <c r="A81" t="s">
        <v>41</v>
      </c>
      <c r="B81" t="s">
        <v>42</v>
      </c>
      <c r="C81" t="s">
        <v>20</v>
      </c>
      <c r="D81" t="s">
        <v>37</v>
      </c>
      <c r="E81" t="s">
        <v>46</v>
      </c>
      <c r="F81" t="s">
        <v>33</v>
      </c>
      <c r="G81" s="3">
        <v>45371</v>
      </c>
      <c r="H81">
        <v>280</v>
      </c>
      <c r="I81">
        <v>9</v>
      </c>
      <c r="J81" t="str">
        <f>IF(supply_chain_data[[#This Row],[Units Sold]]&gt;supply_chain_data[[#This Row],[Opening Stock]],"Yes","No")</f>
        <v>No</v>
      </c>
      <c r="K81">
        <v>44</v>
      </c>
      <c r="L81">
        <f>supply_chain_data[[#This Row],[Opening Stock]]+supply_chain_data[[#This Row],[Units Received]]-supply_chain_data[[#This Row],[Units Sold]]</f>
        <v>315</v>
      </c>
      <c r="M81">
        <v>315</v>
      </c>
      <c r="N81">
        <v>95</v>
      </c>
      <c r="O81" s="2">
        <v>770</v>
      </c>
      <c r="P81">
        <v>9</v>
      </c>
      <c r="Q81">
        <v>8</v>
      </c>
      <c r="R8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81" t="s">
        <v>24</v>
      </c>
      <c r="T81">
        <v>66</v>
      </c>
      <c r="U81" s="5">
        <f>MAX(0,MIN(1,1-ABS(supply_chain_data[[#This Row],[Forecast Demand]]-supply_chain_data[[#This Row],[Units Sold]])/supply_chain_data[[#This Row],[Forecast Demand]]))</f>
        <v>0.13636363636363635</v>
      </c>
      <c r="V81" s="4">
        <f>supply_chain_data[[#This Row],[Closing Stock]]/supply_chain_data[[#This Row],[Forecast Demand]]</f>
        <v>4.7727272727272725</v>
      </c>
      <c r="W81">
        <v>242550</v>
      </c>
    </row>
    <row r="82" spans="1:23" x14ac:dyDescent="0.35">
      <c r="A82" t="s">
        <v>18</v>
      </c>
      <c r="B82" t="s">
        <v>19</v>
      </c>
      <c r="C82" t="s">
        <v>20</v>
      </c>
      <c r="D82" t="s">
        <v>37</v>
      </c>
      <c r="E82" t="s">
        <v>38</v>
      </c>
      <c r="F82" t="s">
        <v>33</v>
      </c>
      <c r="G82" s="3">
        <v>45372</v>
      </c>
      <c r="H82">
        <v>247</v>
      </c>
      <c r="I82">
        <v>45</v>
      </c>
      <c r="J82" t="str">
        <f>IF(supply_chain_data[[#This Row],[Units Sold]]&gt;supply_chain_data[[#This Row],[Opening Stock]],"Yes","No")</f>
        <v>No</v>
      </c>
      <c r="K82">
        <v>73</v>
      </c>
      <c r="L82">
        <f>supply_chain_data[[#This Row],[Opening Stock]]+supply_chain_data[[#This Row],[Units Received]]-supply_chain_data[[#This Row],[Units Sold]]</f>
        <v>275</v>
      </c>
      <c r="M82">
        <v>275</v>
      </c>
      <c r="N82">
        <v>65</v>
      </c>
      <c r="O82" s="2">
        <v>529</v>
      </c>
      <c r="P82">
        <v>8</v>
      </c>
      <c r="Q82">
        <v>6</v>
      </c>
      <c r="R8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82" t="s">
        <v>24</v>
      </c>
      <c r="T82">
        <v>12</v>
      </c>
      <c r="U82" s="5">
        <f>MAX(0,MIN(1,1-ABS(supply_chain_data[[#This Row],[Forecast Demand]]-supply_chain_data[[#This Row],[Units Sold]])/supply_chain_data[[#This Row],[Forecast Demand]]))</f>
        <v>0</v>
      </c>
      <c r="V82" s="4">
        <f>supply_chain_data[[#This Row],[Closing Stock]]/supply_chain_data[[#This Row],[Forecast Demand]]</f>
        <v>22.916666666666668</v>
      </c>
      <c r="W82">
        <v>145475</v>
      </c>
    </row>
    <row r="83" spans="1:23" x14ac:dyDescent="0.35">
      <c r="A83" t="s">
        <v>18</v>
      </c>
      <c r="B83" t="s">
        <v>19</v>
      </c>
      <c r="C83" t="s">
        <v>20</v>
      </c>
      <c r="D83" t="s">
        <v>39</v>
      </c>
      <c r="E83" t="s">
        <v>40</v>
      </c>
      <c r="F83" t="s">
        <v>23</v>
      </c>
      <c r="G83" s="3">
        <v>45373</v>
      </c>
      <c r="H83">
        <v>169</v>
      </c>
      <c r="I83">
        <v>51</v>
      </c>
      <c r="J83" t="str">
        <f>IF(supply_chain_data[[#This Row],[Units Sold]]&gt;supply_chain_data[[#This Row],[Opening Stock]],"Yes","No")</f>
        <v>No</v>
      </c>
      <c r="K83">
        <v>9</v>
      </c>
      <c r="L83">
        <f>supply_chain_data[[#This Row],[Opening Stock]]+supply_chain_data[[#This Row],[Units Received]]-supply_chain_data[[#This Row],[Units Sold]]</f>
        <v>127</v>
      </c>
      <c r="M83">
        <v>127</v>
      </c>
      <c r="N83">
        <v>44</v>
      </c>
      <c r="O83" s="2">
        <v>225</v>
      </c>
      <c r="P83">
        <v>2</v>
      </c>
      <c r="Q83">
        <v>7</v>
      </c>
      <c r="R8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83" t="s">
        <v>24</v>
      </c>
      <c r="T83">
        <v>12</v>
      </c>
      <c r="U83" s="5">
        <f>MAX(0,MIN(1,1-ABS(supply_chain_data[[#This Row],[Forecast Demand]]-supply_chain_data[[#This Row],[Units Sold]])/supply_chain_data[[#This Row],[Forecast Demand]]))</f>
        <v>0</v>
      </c>
      <c r="V83" s="4">
        <f>supply_chain_data[[#This Row],[Closing Stock]]/supply_chain_data[[#This Row],[Forecast Demand]]</f>
        <v>10.583333333333334</v>
      </c>
      <c r="W83">
        <v>28575</v>
      </c>
    </row>
    <row r="84" spans="1:23" hidden="1" x14ac:dyDescent="0.35">
      <c r="A84" t="s">
        <v>18</v>
      </c>
      <c r="B84" t="s">
        <v>19</v>
      </c>
      <c r="C84" t="s">
        <v>20</v>
      </c>
      <c r="D84" t="s">
        <v>39</v>
      </c>
      <c r="E84" t="s">
        <v>45</v>
      </c>
      <c r="F84" t="s">
        <v>23</v>
      </c>
      <c r="G84" s="3">
        <v>45374</v>
      </c>
      <c r="H84">
        <v>207</v>
      </c>
      <c r="I84">
        <v>14</v>
      </c>
      <c r="J84" t="str">
        <f>IF(supply_chain_data[[#This Row],[Units Sold]]&gt;supply_chain_data[[#This Row],[Opening Stock]],"Yes","No")</f>
        <v>No</v>
      </c>
      <c r="K84">
        <v>22</v>
      </c>
      <c r="L84">
        <f>supply_chain_data[[#This Row],[Opening Stock]]+supply_chain_data[[#This Row],[Units Received]]-supply_chain_data[[#This Row],[Units Sold]]</f>
        <v>215</v>
      </c>
      <c r="M84">
        <v>215</v>
      </c>
      <c r="N84">
        <v>95</v>
      </c>
      <c r="O84" s="2">
        <v>984</v>
      </c>
      <c r="P84">
        <v>9</v>
      </c>
      <c r="Q84">
        <v>2</v>
      </c>
      <c r="R8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84" t="s">
        <v>24</v>
      </c>
      <c r="T84">
        <v>64</v>
      </c>
      <c r="U84" s="5">
        <f>MAX(0,MIN(1,1-ABS(supply_chain_data[[#This Row],[Forecast Demand]]-supply_chain_data[[#This Row],[Units Sold]])/supply_chain_data[[#This Row],[Forecast Demand]]))</f>
        <v>0.21875</v>
      </c>
      <c r="V84" s="4">
        <f>supply_chain_data[[#This Row],[Closing Stock]]/supply_chain_data[[#This Row],[Forecast Demand]]</f>
        <v>3.359375</v>
      </c>
      <c r="W84">
        <v>211560</v>
      </c>
    </row>
    <row r="85" spans="1:23" x14ac:dyDescent="0.35">
      <c r="A85" t="s">
        <v>18</v>
      </c>
      <c r="B85" t="s">
        <v>19</v>
      </c>
      <c r="C85" t="s">
        <v>20</v>
      </c>
      <c r="D85" t="s">
        <v>31</v>
      </c>
      <c r="E85" t="s">
        <v>32</v>
      </c>
      <c r="F85" t="s">
        <v>23</v>
      </c>
      <c r="G85" s="3">
        <v>45375</v>
      </c>
      <c r="H85">
        <v>217</v>
      </c>
      <c r="I85">
        <v>11</v>
      </c>
      <c r="J85" t="str">
        <f>IF(supply_chain_data[[#This Row],[Units Sold]]&gt;supply_chain_data[[#This Row],[Opening Stock]],"Yes","No")</f>
        <v>No</v>
      </c>
      <c r="K85">
        <v>69</v>
      </c>
      <c r="L85">
        <f>supply_chain_data[[#This Row],[Opening Stock]]+supply_chain_data[[#This Row],[Units Received]]-supply_chain_data[[#This Row],[Units Sold]]</f>
        <v>275</v>
      </c>
      <c r="M85">
        <v>275</v>
      </c>
      <c r="N85">
        <v>70</v>
      </c>
      <c r="O85" s="2">
        <v>555</v>
      </c>
      <c r="P85">
        <v>11</v>
      </c>
      <c r="Q85">
        <v>6</v>
      </c>
      <c r="R8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85" t="s">
        <v>24</v>
      </c>
      <c r="T85">
        <v>28</v>
      </c>
      <c r="U85" s="5">
        <f>MAX(0,MIN(1,1-ABS(supply_chain_data[[#This Row],[Forecast Demand]]-supply_chain_data[[#This Row],[Units Sold]])/supply_chain_data[[#This Row],[Forecast Demand]]))</f>
        <v>0.3928571428571429</v>
      </c>
      <c r="V85" s="4">
        <f>supply_chain_data[[#This Row],[Closing Stock]]/supply_chain_data[[#This Row],[Forecast Demand]]</f>
        <v>9.8214285714285712</v>
      </c>
      <c r="W85">
        <v>152625</v>
      </c>
    </row>
    <row r="86" spans="1:23" x14ac:dyDescent="0.35">
      <c r="A86" t="s">
        <v>28</v>
      </c>
      <c r="B86" t="s">
        <v>29</v>
      </c>
      <c r="C86" t="s">
        <v>20</v>
      </c>
      <c r="D86" t="s">
        <v>31</v>
      </c>
      <c r="E86" t="s">
        <v>32</v>
      </c>
      <c r="F86" t="s">
        <v>33</v>
      </c>
      <c r="G86" s="3">
        <v>45376</v>
      </c>
      <c r="H86">
        <v>172</v>
      </c>
      <c r="I86">
        <v>36</v>
      </c>
      <c r="J86" t="str">
        <f>IF(supply_chain_data[[#This Row],[Units Sold]]&gt;supply_chain_data[[#This Row],[Opening Stock]],"Yes","No")</f>
        <v>No</v>
      </c>
      <c r="K86">
        <v>77</v>
      </c>
      <c r="L86">
        <f>supply_chain_data[[#This Row],[Opening Stock]]+supply_chain_data[[#This Row],[Units Received]]-supply_chain_data[[#This Row],[Units Sold]]</f>
        <v>213</v>
      </c>
      <c r="M86">
        <v>213</v>
      </c>
      <c r="N86">
        <v>96</v>
      </c>
      <c r="O86" s="2">
        <v>1202</v>
      </c>
      <c r="P86">
        <v>4</v>
      </c>
      <c r="Q86">
        <v>10</v>
      </c>
      <c r="R8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86" t="s">
        <v>24</v>
      </c>
      <c r="T86">
        <v>47</v>
      </c>
      <c r="U86" s="5">
        <f>MAX(0,MIN(1,1-ABS(supply_chain_data[[#This Row],[Forecast Demand]]-supply_chain_data[[#This Row],[Units Sold]])/supply_chain_data[[#This Row],[Forecast Demand]]))</f>
        <v>0.76595744680851063</v>
      </c>
      <c r="V86" s="4">
        <f>supply_chain_data[[#This Row],[Closing Stock]]/supply_chain_data[[#This Row],[Forecast Demand]]</f>
        <v>4.5319148936170217</v>
      </c>
      <c r="W86">
        <v>256026</v>
      </c>
    </row>
    <row r="87" spans="1:23" hidden="1" x14ac:dyDescent="0.35">
      <c r="A87" t="s">
        <v>25</v>
      </c>
      <c r="B87" t="s">
        <v>26</v>
      </c>
      <c r="C87" t="s">
        <v>20</v>
      </c>
      <c r="D87" t="s">
        <v>37</v>
      </c>
      <c r="E87" t="s">
        <v>46</v>
      </c>
      <c r="F87" t="s">
        <v>23</v>
      </c>
      <c r="G87" s="3">
        <v>45377</v>
      </c>
      <c r="H87">
        <v>149</v>
      </c>
      <c r="I87">
        <v>28</v>
      </c>
      <c r="J87" t="str">
        <f>IF(supply_chain_data[[#This Row],[Units Sold]]&gt;supply_chain_data[[#This Row],[Opening Stock]],"Yes","No")</f>
        <v>No</v>
      </c>
      <c r="K87">
        <v>49</v>
      </c>
      <c r="L87">
        <f>supply_chain_data[[#This Row],[Opening Stock]]+supply_chain_data[[#This Row],[Units Received]]-supply_chain_data[[#This Row],[Units Sold]]</f>
        <v>170</v>
      </c>
      <c r="M87">
        <v>170</v>
      </c>
      <c r="N87">
        <v>91</v>
      </c>
      <c r="O87" s="2">
        <v>258</v>
      </c>
      <c r="P87">
        <v>13</v>
      </c>
      <c r="Q87">
        <v>7</v>
      </c>
      <c r="R8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87" t="s">
        <v>24</v>
      </c>
      <c r="T87">
        <v>45</v>
      </c>
      <c r="U87" s="5">
        <f>MAX(0,MIN(1,1-ABS(supply_chain_data[[#This Row],[Forecast Demand]]-supply_chain_data[[#This Row],[Units Sold]])/supply_chain_data[[#This Row],[Forecast Demand]]))</f>
        <v>0.62222222222222223</v>
      </c>
      <c r="V87" s="4">
        <f>supply_chain_data[[#This Row],[Closing Stock]]/supply_chain_data[[#This Row],[Forecast Demand]]</f>
        <v>3.7777777777777777</v>
      </c>
      <c r="W87">
        <v>43860</v>
      </c>
    </row>
    <row r="88" spans="1:23" x14ac:dyDescent="0.35">
      <c r="A88" t="s">
        <v>25</v>
      </c>
      <c r="B88" t="s">
        <v>26</v>
      </c>
      <c r="C88" t="s">
        <v>20</v>
      </c>
      <c r="D88" t="s">
        <v>43</v>
      </c>
      <c r="E88" t="s">
        <v>44</v>
      </c>
      <c r="F88" t="s">
        <v>33</v>
      </c>
      <c r="G88" s="3">
        <v>45378</v>
      </c>
      <c r="H88">
        <v>216</v>
      </c>
      <c r="I88">
        <v>19</v>
      </c>
      <c r="J88" t="str">
        <f>IF(supply_chain_data[[#This Row],[Units Sold]]&gt;supply_chain_data[[#This Row],[Opening Stock]],"Yes","No")</f>
        <v>No</v>
      </c>
      <c r="K88">
        <v>19</v>
      </c>
      <c r="L88">
        <f>supply_chain_data[[#This Row],[Opening Stock]]+supply_chain_data[[#This Row],[Units Received]]-supply_chain_data[[#This Row],[Units Sold]]</f>
        <v>216</v>
      </c>
      <c r="M88">
        <v>216</v>
      </c>
      <c r="N88">
        <v>100</v>
      </c>
      <c r="O88" s="2">
        <v>942</v>
      </c>
      <c r="P88">
        <v>8</v>
      </c>
      <c r="Q88">
        <v>5</v>
      </c>
      <c r="R8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88" t="s">
        <v>24</v>
      </c>
      <c r="T88">
        <v>51</v>
      </c>
      <c r="U88" s="5">
        <f>MAX(0,MIN(1,1-ABS(supply_chain_data[[#This Row],[Forecast Demand]]-supply_chain_data[[#This Row],[Units Sold]])/supply_chain_data[[#This Row],[Forecast Demand]]))</f>
        <v>0.37254901960784315</v>
      </c>
      <c r="V88" s="4">
        <f>supply_chain_data[[#This Row],[Closing Stock]]/supply_chain_data[[#This Row],[Forecast Demand]]</f>
        <v>4.2352941176470589</v>
      </c>
      <c r="W88">
        <v>203472</v>
      </c>
    </row>
    <row r="89" spans="1:23" x14ac:dyDescent="0.35">
      <c r="A89" t="s">
        <v>25</v>
      </c>
      <c r="B89" t="s">
        <v>26</v>
      </c>
      <c r="C89" t="s">
        <v>20</v>
      </c>
      <c r="D89" t="s">
        <v>43</v>
      </c>
      <c r="E89" t="s">
        <v>48</v>
      </c>
      <c r="F89" t="s">
        <v>33</v>
      </c>
      <c r="G89" s="3">
        <v>45379</v>
      </c>
      <c r="H89">
        <v>200</v>
      </c>
      <c r="I89">
        <v>60</v>
      </c>
      <c r="J89" t="str">
        <f>IF(supply_chain_data[[#This Row],[Units Sold]]&gt;supply_chain_data[[#This Row],[Opening Stock]],"Yes","No")</f>
        <v>No</v>
      </c>
      <c r="K89">
        <v>48</v>
      </c>
      <c r="L89">
        <f>supply_chain_data[[#This Row],[Opening Stock]]+supply_chain_data[[#This Row],[Units Received]]-supply_chain_data[[#This Row],[Units Sold]]</f>
        <v>188</v>
      </c>
      <c r="M89">
        <v>188</v>
      </c>
      <c r="N89">
        <v>71</v>
      </c>
      <c r="O89" s="2">
        <v>684</v>
      </c>
      <c r="P89">
        <v>10</v>
      </c>
      <c r="Q89">
        <v>0</v>
      </c>
      <c r="R8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89" t="s">
        <v>24</v>
      </c>
      <c r="T89">
        <v>12</v>
      </c>
      <c r="U89" s="5">
        <f>MAX(0,MIN(1,1-ABS(supply_chain_data[[#This Row],[Forecast Demand]]-supply_chain_data[[#This Row],[Units Sold]])/supply_chain_data[[#This Row],[Forecast Demand]]))</f>
        <v>0</v>
      </c>
      <c r="V89" s="4">
        <f>supply_chain_data[[#This Row],[Closing Stock]]/supply_chain_data[[#This Row],[Forecast Demand]]</f>
        <v>15.666666666666666</v>
      </c>
      <c r="W89">
        <v>128592</v>
      </c>
    </row>
    <row r="90" spans="1:23" x14ac:dyDescent="0.35">
      <c r="A90" t="s">
        <v>28</v>
      </c>
      <c r="B90" t="s">
        <v>29</v>
      </c>
      <c r="C90" t="s">
        <v>20</v>
      </c>
      <c r="D90" t="s">
        <v>31</v>
      </c>
      <c r="E90" t="s">
        <v>32</v>
      </c>
      <c r="F90" t="s">
        <v>30</v>
      </c>
      <c r="G90" s="3">
        <v>45380</v>
      </c>
      <c r="H90">
        <v>128</v>
      </c>
      <c r="I90">
        <v>27</v>
      </c>
      <c r="J90" t="str">
        <f>IF(supply_chain_data[[#This Row],[Units Sold]]&gt;supply_chain_data[[#This Row],[Opening Stock]],"Yes","No")</f>
        <v>No</v>
      </c>
      <c r="K90">
        <v>64</v>
      </c>
      <c r="L90">
        <f>supply_chain_data[[#This Row],[Opening Stock]]+supply_chain_data[[#This Row],[Units Received]]-supply_chain_data[[#This Row],[Units Sold]]</f>
        <v>165</v>
      </c>
      <c r="M90">
        <v>165</v>
      </c>
      <c r="N90">
        <v>86</v>
      </c>
      <c r="O90" s="2">
        <v>1162</v>
      </c>
      <c r="P90">
        <v>2</v>
      </c>
      <c r="Q90">
        <v>5</v>
      </c>
      <c r="R9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90" t="s">
        <v>24</v>
      </c>
      <c r="T90">
        <v>29</v>
      </c>
      <c r="U90" s="5">
        <f>MAX(0,MIN(1,1-ABS(supply_chain_data[[#This Row],[Forecast Demand]]-supply_chain_data[[#This Row],[Units Sold]])/supply_chain_data[[#This Row],[Forecast Demand]]))</f>
        <v>0.93103448275862066</v>
      </c>
      <c r="V90" s="4">
        <f>supply_chain_data[[#This Row],[Closing Stock]]/supply_chain_data[[#This Row],[Forecast Demand]]</f>
        <v>5.6896551724137927</v>
      </c>
      <c r="W90">
        <v>191730</v>
      </c>
    </row>
    <row r="91" spans="1:23" x14ac:dyDescent="0.35">
      <c r="A91" t="s">
        <v>25</v>
      </c>
      <c r="B91" t="s">
        <v>26</v>
      </c>
      <c r="C91" t="s">
        <v>20</v>
      </c>
      <c r="D91" t="s">
        <v>39</v>
      </c>
      <c r="E91" t="s">
        <v>40</v>
      </c>
      <c r="F91" t="s">
        <v>30</v>
      </c>
      <c r="G91" s="3">
        <v>45381</v>
      </c>
      <c r="H91">
        <v>143</v>
      </c>
      <c r="I91">
        <v>21</v>
      </c>
      <c r="J91" t="str">
        <f>IF(supply_chain_data[[#This Row],[Units Sold]]&gt;supply_chain_data[[#This Row],[Opening Stock]],"Yes","No")</f>
        <v>No</v>
      </c>
      <c r="K91">
        <v>64</v>
      </c>
      <c r="L91">
        <f>supply_chain_data[[#This Row],[Opening Stock]]+supply_chain_data[[#This Row],[Units Received]]-supply_chain_data[[#This Row],[Units Sold]]</f>
        <v>186</v>
      </c>
      <c r="M91">
        <v>186</v>
      </c>
      <c r="N91">
        <v>57</v>
      </c>
      <c r="O91" s="2">
        <v>903</v>
      </c>
      <c r="P91">
        <v>5</v>
      </c>
      <c r="Q91">
        <v>3</v>
      </c>
      <c r="R9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91" t="s">
        <v>24</v>
      </c>
      <c r="T91">
        <v>15</v>
      </c>
      <c r="U91" s="5">
        <f>MAX(0,MIN(1,1-ABS(supply_chain_data[[#This Row],[Forecast Demand]]-supply_chain_data[[#This Row],[Units Sold]])/supply_chain_data[[#This Row],[Forecast Demand]]))</f>
        <v>0.6</v>
      </c>
      <c r="V91" s="4">
        <f>supply_chain_data[[#This Row],[Closing Stock]]/supply_chain_data[[#This Row],[Forecast Demand]]</f>
        <v>12.4</v>
      </c>
      <c r="W91">
        <v>167958</v>
      </c>
    </row>
    <row r="92" spans="1:23" x14ac:dyDescent="0.35">
      <c r="A92" t="s">
        <v>18</v>
      </c>
      <c r="B92" t="s">
        <v>19</v>
      </c>
      <c r="C92" t="s">
        <v>20</v>
      </c>
      <c r="D92" t="s">
        <v>39</v>
      </c>
      <c r="E92" t="s">
        <v>40</v>
      </c>
      <c r="F92" t="s">
        <v>23</v>
      </c>
      <c r="G92" s="3">
        <v>45382</v>
      </c>
      <c r="H92">
        <v>222</v>
      </c>
      <c r="I92">
        <v>39</v>
      </c>
      <c r="J92" t="str">
        <f>IF(supply_chain_data[[#This Row],[Units Sold]]&gt;supply_chain_data[[#This Row],[Opening Stock]],"Yes","No")</f>
        <v>No</v>
      </c>
      <c r="K92">
        <v>28</v>
      </c>
      <c r="L92">
        <f>supply_chain_data[[#This Row],[Opening Stock]]+supply_chain_data[[#This Row],[Units Received]]-supply_chain_data[[#This Row],[Units Sold]]</f>
        <v>211</v>
      </c>
      <c r="M92">
        <v>211</v>
      </c>
      <c r="N92">
        <v>100</v>
      </c>
      <c r="O92" s="2">
        <v>466</v>
      </c>
      <c r="P92">
        <v>4</v>
      </c>
      <c r="Q92">
        <v>0</v>
      </c>
      <c r="R9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92" t="s">
        <v>24</v>
      </c>
      <c r="T92">
        <v>24</v>
      </c>
      <c r="U92" s="5">
        <f>MAX(0,MIN(1,1-ABS(supply_chain_data[[#This Row],[Forecast Demand]]-supply_chain_data[[#This Row],[Units Sold]])/supply_chain_data[[#This Row],[Forecast Demand]]))</f>
        <v>0.375</v>
      </c>
      <c r="V92" s="4">
        <f>supply_chain_data[[#This Row],[Closing Stock]]/supply_chain_data[[#This Row],[Forecast Demand]]</f>
        <v>8.7916666666666661</v>
      </c>
      <c r="W92">
        <v>98326</v>
      </c>
    </row>
    <row r="93" spans="1:23" hidden="1" x14ac:dyDescent="0.35">
      <c r="A93" t="s">
        <v>25</v>
      </c>
      <c r="B93" t="s">
        <v>26</v>
      </c>
      <c r="C93" t="s">
        <v>20</v>
      </c>
      <c r="D93" t="s">
        <v>43</v>
      </c>
      <c r="E93" t="s">
        <v>44</v>
      </c>
      <c r="F93" t="s">
        <v>23</v>
      </c>
      <c r="G93" s="3">
        <v>45383</v>
      </c>
      <c r="H93">
        <v>122</v>
      </c>
      <c r="I93">
        <v>46</v>
      </c>
      <c r="J93" t="str">
        <f>IF(supply_chain_data[[#This Row],[Units Sold]]&gt;supply_chain_data[[#This Row],[Opening Stock]],"Yes","No")</f>
        <v>No</v>
      </c>
      <c r="K93">
        <v>64</v>
      </c>
      <c r="L93">
        <f>supply_chain_data[[#This Row],[Opening Stock]]+supply_chain_data[[#This Row],[Units Received]]-supply_chain_data[[#This Row],[Units Sold]]</f>
        <v>140</v>
      </c>
      <c r="M93">
        <v>140</v>
      </c>
      <c r="N93">
        <v>66</v>
      </c>
      <c r="O93" s="2">
        <v>204</v>
      </c>
      <c r="P93">
        <v>6</v>
      </c>
      <c r="Q93">
        <v>4</v>
      </c>
      <c r="R9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93" t="s">
        <v>24</v>
      </c>
      <c r="T93">
        <v>69</v>
      </c>
      <c r="U93" s="5">
        <f>MAX(0,MIN(1,1-ABS(supply_chain_data[[#This Row],[Forecast Demand]]-supply_chain_data[[#This Row],[Units Sold]])/supply_chain_data[[#This Row],[Forecast Demand]]))</f>
        <v>0.66666666666666674</v>
      </c>
      <c r="V93" s="4">
        <f>supply_chain_data[[#This Row],[Closing Stock]]/supply_chain_data[[#This Row],[Forecast Demand]]</f>
        <v>2.0289855072463769</v>
      </c>
      <c r="W93">
        <v>28560</v>
      </c>
    </row>
    <row r="94" spans="1:23" x14ac:dyDescent="0.35">
      <c r="A94" t="s">
        <v>34</v>
      </c>
      <c r="B94" t="s">
        <v>35</v>
      </c>
      <c r="C94" t="s">
        <v>20</v>
      </c>
      <c r="D94" t="s">
        <v>31</v>
      </c>
      <c r="E94" t="s">
        <v>47</v>
      </c>
      <c r="F94" t="s">
        <v>23</v>
      </c>
      <c r="G94" s="3">
        <v>45384</v>
      </c>
      <c r="H94">
        <v>228</v>
      </c>
      <c r="I94">
        <v>24</v>
      </c>
      <c r="J94" t="str">
        <f>IF(supply_chain_data[[#This Row],[Units Sold]]&gt;supply_chain_data[[#This Row],[Opening Stock]],"Yes","No")</f>
        <v>No</v>
      </c>
      <c r="K94">
        <v>7</v>
      </c>
      <c r="L94">
        <f>supply_chain_data[[#This Row],[Opening Stock]]+supply_chain_data[[#This Row],[Units Received]]-supply_chain_data[[#This Row],[Units Sold]]</f>
        <v>211</v>
      </c>
      <c r="M94">
        <v>211</v>
      </c>
      <c r="N94">
        <v>99</v>
      </c>
      <c r="O94" s="2">
        <v>756</v>
      </c>
      <c r="P94">
        <v>12</v>
      </c>
      <c r="Q94">
        <v>5</v>
      </c>
      <c r="R9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94" t="s">
        <v>24</v>
      </c>
      <c r="T94">
        <v>42</v>
      </c>
      <c r="U94" s="5">
        <f>MAX(0,MIN(1,1-ABS(supply_chain_data[[#This Row],[Forecast Demand]]-supply_chain_data[[#This Row],[Units Sold]])/supply_chain_data[[#This Row],[Forecast Demand]]))</f>
        <v>0.5714285714285714</v>
      </c>
      <c r="V94" s="4">
        <f>supply_chain_data[[#This Row],[Closing Stock]]/supply_chain_data[[#This Row],[Forecast Demand]]</f>
        <v>5.0238095238095237</v>
      </c>
      <c r="W94">
        <v>159516</v>
      </c>
    </row>
    <row r="95" spans="1:23" hidden="1" x14ac:dyDescent="0.35">
      <c r="A95" t="s">
        <v>25</v>
      </c>
      <c r="B95" t="s">
        <v>26</v>
      </c>
      <c r="C95" t="s">
        <v>20</v>
      </c>
      <c r="D95" t="s">
        <v>21</v>
      </c>
      <c r="E95" t="s">
        <v>27</v>
      </c>
      <c r="F95" t="s">
        <v>30</v>
      </c>
      <c r="G95" s="3">
        <v>45385</v>
      </c>
      <c r="H95">
        <v>258</v>
      </c>
      <c r="I95">
        <v>32</v>
      </c>
      <c r="J95" t="str">
        <f>IF(supply_chain_data[[#This Row],[Units Sold]]&gt;supply_chain_data[[#This Row],[Opening Stock]],"Yes","No")</f>
        <v>No</v>
      </c>
      <c r="K95">
        <v>14</v>
      </c>
      <c r="L95">
        <f>supply_chain_data[[#This Row],[Opening Stock]]+supply_chain_data[[#This Row],[Units Received]]-supply_chain_data[[#This Row],[Units Sold]]</f>
        <v>240</v>
      </c>
      <c r="M95">
        <v>240</v>
      </c>
      <c r="N95">
        <v>86</v>
      </c>
      <c r="O95" s="2">
        <v>1000</v>
      </c>
      <c r="P95">
        <v>3</v>
      </c>
      <c r="Q95">
        <v>10</v>
      </c>
      <c r="R9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95" t="s">
        <v>24</v>
      </c>
      <c r="T95">
        <v>63</v>
      </c>
      <c r="U95" s="5">
        <f>MAX(0,MIN(1,1-ABS(supply_chain_data[[#This Row],[Forecast Demand]]-supply_chain_data[[#This Row],[Units Sold]])/supply_chain_data[[#This Row],[Forecast Demand]]))</f>
        <v>0.50793650793650791</v>
      </c>
      <c r="V95" s="4">
        <f>supply_chain_data[[#This Row],[Closing Stock]]/supply_chain_data[[#This Row],[Forecast Demand]]</f>
        <v>3.8095238095238093</v>
      </c>
      <c r="W95">
        <v>240000</v>
      </c>
    </row>
    <row r="96" spans="1:23" x14ac:dyDescent="0.35">
      <c r="A96" t="s">
        <v>41</v>
      </c>
      <c r="B96" t="s">
        <v>42</v>
      </c>
      <c r="C96" t="s">
        <v>20</v>
      </c>
      <c r="D96" t="s">
        <v>37</v>
      </c>
      <c r="E96" t="s">
        <v>46</v>
      </c>
      <c r="F96" t="s">
        <v>23</v>
      </c>
      <c r="G96" s="3">
        <v>45386</v>
      </c>
      <c r="H96">
        <v>273</v>
      </c>
      <c r="I96">
        <v>28</v>
      </c>
      <c r="J96" t="str">
        <f>IF(supply_chain_data[[#This Row],[Units Sold]]&gt;supply_chain_data[[#This Row],[Opening Stock]],"Yes","No")</f>
        <v>No</v>
      </c>
      <c r="K96">
        <v>2</v>
      </c>
      <c r="L96">
        <f>supply_chain_data[[#This Row],[Opening Stock]]+supply_chain_data[[#This Row],[Units Received]]-supply_chain_data[[#This Row],[Units Sold]]</f>
        <v>247</v>
      </c>
      <c r="M96">
        <v>247</v>
      </c>
      <c r="N96">
        <v>82</v>
      </c>
      <c r="O96" s="2">
        <v>100</v>
      </c>
      <c r="P96">
        <v>10</v>
      </c>
      <c r="Q96">
        <v>4</v>
      </c>
      <c r="R9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96" t="s">
        <v>24</v>
      </c>
      <c r="T96">
        <v>48</v>
      </c>
      <c r="U96" s="5">
        <f>MAX(0,MIN(1,1-ABS(supply_chain_data[[#This Row],[Forecast Demand]]-supply_chain_data[[#This Row],[Units Sold]])/supply_chain_data[[#This Row],[Forecast Demand]]))</f>
        <v>0.58333333333333326</v>
      </c>
      <c r="V96" s="4">
        <f>supply_chain_data[[#This Row],[Closing Stock]]/supply_chain_data[[#This Row],[Forecast Demand]]</f>
        <v>5.145833333333333</v>
      </c>
      <c r="W96">
        <v>24700</v>
      </c>
    </row>
    <row r="97" spans="1:23" x14ac:dyDescent="0.35">
      <c r="A97" t="s">
        <v>18</v>
      </c>
      <c r="B97" t="s">
        <v>19</v>
      </c>
      <c r="C97" t="s">
        <v>20</v>
      </c>
      <c r="D97" t="s">
        <v>39</v>
      </c>
      <c r="E97" t="s">
        <v>45</v>
      </c>
      <c r="F97" t="s">
        <v>23</v>
      </c>
      <c r="G97" s="3">
        <v>45387</v>
      </c>
      <c r="H97">
        <v>210</v>
      </c>
      <c r="I97">
        <v>59</v>
      </c>
      <c r="J97" t="str">
        <f>IF(supply_chain_data[[#This Row],[Units Sold]]&gt;supply_chain_data[[#This Row],[Opening Stock]],"Yes","No")</f>
        <v>No</v>
      </c>
      <c r="K97">
        <v>73</v>
      </c>
      <c r="L97">
        <f>supply_chain_data[[#This Row],[Opening Stock]]+supply_chain_data[[#This Row],[Units Received]]-supply_chain_data[[#This Row],[Units Sold]]</f>
        <v>224</v>
      </c>
      <c r="M97">
        <v>224</v>
      </c>
      <c r="N97">
        <v>61</v>
      </c>
      <c r="O97" s="2">
        <v>1422</v>
      </c>
      <c r="P97">
        <v>9</v>
      </c>
      <c r="Q97">
        <v>2</v>
      </c>
      <c r="R9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97" t="s">
        <v>24</v>
      </c>
      <c r="T97">
        <v>17</v>
      </c>
      <c r="U97" s="5">
        <f>MAX(0,MIN(1,1-ABS(supply_chain_data[[#This Row],[Forecast Demand]]-supply_chain_data[[#This Row],[Units Sold]])/supply_chain_data[[#This Row],[Forecast Demand]]))</f>
        <v>0</v>
      </c>
      <c r="V97" s="4">
        <f>supply_chain_data[[#This Row],[Closing Stock]]/supply_chain_data[[#This Row],[Forecast Demand]]</f>
        <v>13.176470588235293</v>
      </c>
      <c r="W97">
        <v>318528</v>
      </c>
    </row>
    <row r="98" spans="1:23" x14ac:dyDescent="0.35">
      <c r="A98" t="s">
        <v>18</v>
      </c>
      <c r="B98" t="s">
        <v>19</v>
      </c>
      <c r="C98" t="s">
        <v>20</v>
      </c>
      <c r="D98" t="s">
        <v>43</v>
      </c>
      <c r="E98" t="s">
        <v>48</v>
      </c>
      <c r="F98" t="s">
        <v>23</v>
      </c>
      <c r="G98" s="3">
        <v>45388</v>
      </c>
      <c r="H98">
        <v>287</v>
      </c>
      <c r="I98">
        <v>16</v>
      </c>
      <c r="J98" t="str">
        <f>IF(supply_chain_data[[#This Row],[Units Sold]]&gt;supply_chain_data[[#This Row],[Opening Stock]],"Yes","No")</f>
        <v>No</v>
      </c>
      <c r="K98">
        <v>10</v>
      </c>
      <c r="L98">
        <f>supply_chain_data[[#This Row],[Opening Stock]]+supply_chain_data[[#This Row],[Units Received]]-supply_chain_data[[#This Row],[Units Sold]]</f>
        <v>281</v>
      </c>
      <c r="M98">
        <v>281</v>
      </c>
      <c r="N98">
        <v>88</v>
      </c>
      <c r="O98" s="2">
        <v>864</v>
      </c>
      <c r="P98">
        <v>14</v>
      </c>
      <c r="Q98">
        <v>3</v>
      </c>
      <c r="R9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98" t="s">
        <v>24</v>
      </c>
      <c r="T98">
        <v>51</v>
      </c>
      <c r="U98" s="5">
        <f>MAX(0,MIN(1,1-ABS(supply_chain_data[[#This Row],[Forecast Demand]]-supply_chain_data[[#This Row],[Units Sold]])/supply_chain_data[[#This Row],[Forecast Demand]]))</f>
        <v>0.31372549019607843</v>
      </c>
      <c r="V98" s="4">
        <f>supply_chain_data[[#This Row],[Closing Stock]]/supply_chain_data[[#This Row],[Forecast Demand]]</f>
        <v>5.5098039215686274</v>
      </c>
      <c r="W98">
        <v>242784</v>
      </c>
    </row>
    <row r="99" spans="1:23" hidden="1" x14ac:dyDescent="0.35">
      <c r="A99" t="s">
        <v>18</v>
      </c>
      <c r="B99" t="s">
        <v>19</v>
      </c>
      <c r="C99" t="s">
        <v>20</v>
      </c>
      <c r="D99" t="s">
        <v>31</v>
      </c>
      <c r="E99" t="s">
        <v>47</v>
      </c>
      <c r="F99" t="s">
        <v>23</v>
      </c>
      <c r="G99" s="3">
        <v>45389</v>
      </c>
      <c r="H99">
        <v>109</v>
      </c>
      <c r="I99">
        <v>31</v>
      </c>
      <c r="J99" t="str">
        <f>IF(supply_chain_data[[#This Row],[Units Sold]]&gt;supply_chain_data[[#This Row],[Opening Stock]],"Yes","No")</f>
        <v>No</v>
      </c>
      <c r="K99">
        <v>57</v>
      </c>
      <c r="L99">
        <f>supply_chain_data[[#This Row],[Opening Stock]]+supply_chain_data[[#This Row],[Units Received]]-supply_chain_data[[#This Row],[Units Sold]]</f>
        <v>135</v>
      </c>
      <c r="M99">
        <v>135</v>
      </c>
      <c r="N99">
        <v>43</v>
      </c>
      <c r="O99" s="2">
        <v>680</v>
      </c>
      <c r="P99">
        <v>11</v>
      </c>
      <c r="Q99">
        <v>1</v>
      </c>
      <c r="R9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99" t="s">
        <v>24</v>
      </c>
      <c r="T99">
        <v>67</v>
      </c>
      <c r="U99" s="5">
        <f>MAX(0,MIN(1,1-ABS(supply_chain_data[[#This Row],[Forecast Demand]]-supply_chain_data[[#This Row],[Units Sold]])/supply_chain_data[[#This Row],[Forecast Demand]]))</f>
        <v>0.46268656716417911</v>
      </c>
      <c r="V99" s="4">
        <f>supply_chain_data[[#This Row],[Closing Stock]]/supply_chain_data[[#This Row],[Forecast Demand]]</f>
        <v>2.0149253731343282</v>
      </c>
      <c r="W99">
        <v>91800</v>
      </c>
    </row>
    <row r="100" spans="1:23" hidden="1" x14ac:dyDescent="0.35">
      <c r="A100" t="s">
        <v>25</v>
      </c>
      <c r="B100" t="s">
        <v>26</v>
      </c>
      <c r="C100" t="s">
        <v>20</v>
      </c>
      <c r="D100" t="s">
        <v>39</v>
      </c>
      <c r="E100" t="s">
        <v>45</v>
      </c>
      <c r="F100" t="s">
        <v>30</v>
      </c>
      <c r="G100" s="3">
        <v>45390</v>
      </c>
      <c r="H100">
        <v>202</v>
      </c>
      <c r="I100">
        <v>59</v>
      </c>
      <c r="J100" t="str">
        <f>IF(supply_chain_data[[#This Row],[Units Sold]]&gt;supply_chain_data[[#This Row],[Opening Stock]],"Yes","No")</f>
        <v>No</v>
      </c>
      <c r="K100">
        <v>42</v>
      </c>
      <c r="L100">
        <f>supply_chain_data[[#This Row],[Opening Stock]]+supply_chain_data[[#This Row],[Units Received]]-supply_chain_data[[#This Row],[Units Sold]]</f>
        <v>185</v>
      </c>
      <c r="M100">
        <v>185</v>
      </c>
      <c r="N100">
        <v>47</v>
      </c>
      <c r="O100" s="2">
        <v>998</v>
      </c>
      <c r="P100">
        <v>8</v>
      </c>
      <c r="Q100">
        <v>6</v>
      </c>
      <c r="R10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00" t="s">
        <v>24</v>
      </c>
      <c r="T100">
        <v>48</v>
      </c>
      <c r="U100" s="5">
        <f>MAX(0,MIN(1,1-ABS(supply_chain_data[[#This Row],[Forecast Demand]]-supply_chain_data[[#This Row],[Units Sold]])/supply_chain_data[[#This Row],[Forecast Demand]]))</f>
        <v>0.77083333333333337</v>
      </c>
      <c r="V100" s="4">
        <f>supply_chain_data[[#This Row],[Closing Stock]]/supply_chain_data[[#This Row],[Forecast Demand]]</f>
        <v>3.8541666666666665</v>
      </c>
      <c r="W100">
        <v>184630</v>
      </c>
    </row>
    <row r="101" spans="1:23" hidden="1" x14ac:dyDescent="0.35">
      <c r="A101" t="s">
        <v>25</v>
      </c>
      <c r="B101" t="s">
        <v>26</v>
      </c>
      <c r="C101" t="s">
        <v>20</v>
      </c>
      <c r="D101" t="s">
        <v>21</v>
      </c>
      <c r="E101" t="s">
        <v>22</v>
      </c>
      <c r="F101" t="s">
        <v>33</v>
      </c>
      <c r="G101" s="3">
        <v>45391</v>
      </c>
      <c r="H101">
        <v>67</v>
      </c>
      <c r="I101">
        <v>53</v>
      </c>
      <c r="J101" t="str">
        <f>IF(supply_chain_data[[#This Row],[Units Sold]]&gt;supply_chain_data[[#This Row],[Opening Stock]],"Yes","No")</f>
        <v>No</v>
      </c>
      <c r="K101">
        <v>52</v>
      </c>
      <c r="L101">
        <f>supply_chain_data[[#This Row],[Opening Stock]]+supply_chain_data[[#This Row],[Units Received]]-supply_chain_data[[#This Row],[Units Sold]]</f>
        <v>66</v>
      </c>
      <c r="M101">
        <v>66</v>
      </c>
      <c r="N101">
        <v>86</v>
      </c>
      <c r="O101" s="2">
        <v>1391</v>
      </c>
      <c r="P101">
        <v>5</v>
      </c>
      <c r="Q101">
        <v>7</v>
      </c>
      <c r="R10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101" t="s">
        <v>36</v>
      </c>
      <c r="T101">
        <v>40</v>
      </c>
      <c r="U101" s="5">
        <f>MAX(0,MIN(1,1-ABS(supply_chain_data[[#This Row],[Forecast Demand]]-supply_chain_data[[#This Row],[Units Sold]])/supply_chain_data[[#This Row],[Forecast Demand]]))</f>
        <v>0.67500000000000004</v>
      </c>
      <c r="V101" s="4">
        <f>supply_chain_data[[#This Row],[Closing Stock]]/supply_chain_data[[#This Row],[Forecast Demand]]</f>
        <v>1.65</v>
      </c>
      <c r="W101">
        <v>91806</v>
      </c>
    </row>
    <row r="102" spans="1:23" x14ac:dyDescent="0.35">
      <c r="A102" t="s">
        <v>34</v>
      </c>
      <c r="B102" t="s">
        <v>35</v>
      </c>
      <c r="C102" t="s">
        <v>20</v>
      </c>
      <c r="D102" t="s">
        <v>39</v>
      </c>
      <c r="E102" t="s">
        <v>45</v>
      </c>
      <c r="F102" t="s">
        <v>23</v>
      </c>
      <c r="G102" s="3">
        <v>45392</v>
      </c>
      <c r="H102">
        <v>224</v>
      </c>
      <c r="I102">
        <v>43</v>
      </c>
      <c r="J102" t="str">
        <f>IF(supply_chain_data[[#This Row],[Units Sold]]&gt;supply_chain_data[[#This Row],[Opening Stock]],"Yes","No")</f>
        <v>No</v>
      </c>
      <c r="K102">
        <v>50</v>
      </c>
      <c r="L102">
        <f>supply_chain_data[[#This Row],[Opening Stock]]+supply_chain_data[[#This Row],[Units Received]]-supply_chain_data[[#This Row],[Units Sold]]</f>
        <v>231</v>
      </c>
      <c r="M102">
        <v>231</v>
      </c>
      <c r="N102">
        <v>99</v>
      </c>
      <c r="O102" s="2">
        <v>457</v>
      </c>
      <c r="P102">
        <v>15</v>
      </c>
      <c r="Q102">
        <v>5</v>
      </c>
      <c r="R10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02" t="s">
        <v>24</v>
      </c>
      <c r="T102">
        <v>21</v>
      </c>
      <c r="U102" s="5">
        <f>MAX(0,MIN(1,1-ABS(supply_chain_data[[#This Row],[Forecast Demand]]-supply_chain_data[[#This Row],[Units Sold]])/supply_chain_data[[#This Row],[Forecast Demand]]))</f>
        <v>0</v>
      </c>
      <c r="V102" s="4">
        <f>supply_chain_data[[#This Row],[Closing Stock]]/supply_chain_data[[#This Row],[Forecast Demand]]</f>
        <v>11</v>
      </c>
      <c r="W102">
        <v>105567</v>
      </c>
    </row>
    <row r="103" spans="1:23" hidden="1" x14ac:dyDescent="0.35">
      <c r="A103" t="s">
        <v>34</v>
      </c>
      <c r="B103" t="s">
        <v>35</v>
      </c>
      <c r="C103" t="s">
        <v>20</v>
      </c>
      <c r="D103" t="s">
        <v>37</v>
      </c>
      <c r="E103" t="s">
        <v>46</v>
      </c>
      <c r="F103" t="s">
        <v>30</v>
      </c>
      <c r="G103" s="3">
        <v>45393</v>
      </c>
      <c r="H103">
        <v>155</v>
      </c>
      <c r="I103">
        <v>30</v>
      </c>
      <c r="J103" t="str">
        <f>IF(supply_chain_data[[#This Row],[Units Sold]]&gt;supply_chain_data[[#This Row],[Opening Stock]],"Yes","No")</f>
        <v>No</v>
      </c>
      <c r="K103">
        <v>15</v>
      </c>
      <c r="L103">
        <f>supply_chain_data[[#This Row],[Opening Stock]]+supply_chain_data[[#This Row],[Units Received]]-supply_chain_data[[#This Row],[Units Sold]]</f>
        <v>140</v>
      </c>
      <c r="M103">
        <v>140</v>
      </c>
      <c r="N103">
        <v>59</v>
      </c>
      <c r="O103" s="2">
        <v>266</v>
      </c>
      <c r="P103">
        <v>13</v>
      </c>
      <c r="Q103">
        <v>6</v>
      </c>
      <c r="R10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03" t="s">
        <v>24</v>
      </c>
      <c r="T103">
        <v>63</v>
      </c>
      <c r="U103" s="5">
        <f>MAX(0,MIN(1,1-ABS(supply_chain_data[[#This Row],[Forecast Demand]]-supply_chain_data[[#This Row],[Units Sold]])/supply_chain_data[[#This Row],[Forecast Demand]]))</f>
        <v>0.47619047619047616</v>
      </c>
      <c r="V103" s="4">
        <f>supply_chain_data[[#This Row],[Closing Stock]]/supply_chain_data[[#This Row],[Forecast Demand]]</f>
        <v>2.2222222222222223</v>
      </c>
      <c r="W103">
        <v>37240</v>
      </c>
    </row>
    <row r="104" spans="1:23" hidden="1" x14ac:dyDescent="0.35">
      <c r="A104" t="s">
        <v>25</v>
      </c>
      <c r="B104" t="s">
        <v>26</v>
      </c>
      <c r="C104" t="s">
        <v>20</v>
      </c>
      <c r="D104" t="s">
        <v>37</v>
      </c>
      <c r="E104" t="s">
        <v>46</v>
      </c>
      <c r="F104" t="s">
        <v>23</v>
      </c>
      <c r="G104" s="3">
        <v>45394</v>
      </c>
      <c r="H104">
        <v>111</v>
      </c>
      <c r="I104">
        <v>52</v>
      </c>
      <c r="J104" t="str">
        <f>IF(supply_chain_data[[#This Row],[Units Sold]]&gt;supply_chain_data[[#This Row],[Opening Stock]],"Yes","No")</f>
        <v>No</v>
      </c>
      <c r="K104">
        <v>26</v>
      </c>
      <c r="L104">
        <f>supply_chain_data[[#This Row],[Opening Stock]]+supply_chain_data[[#This Row],[Units Received]]-supply_chain_data[[#This Row],[Units Sold]]</f>
        <v>85</v>
      </c>
      <c r="M104">
        <v>85</v>
      </c>
      <c r="N104">
        <v>64</v>
      </c>
      <c r="O104" s="2">
        <v>331</v>
      </c>
      <c r="P104">
        <v>13</v>
      </c>
      <c r="Q104">
        <v>0</v>
      </c>
      <c r="R10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104" t="s">
        <v>24</v>
      </c>
      <c r="T104">
        <v>68</v>
      </c>
      <c r="U104" s="5">
        <f>MAX(0,MIN(1,1-ABS(supply_chain_data[[#This Row],[Forecast Demand]]-supply_chain_data[[#This Row],[Units Sold]])/supply_chain_data[[#This Row],[Forecast Demand]]))</f>
        <v>0.76470588235294112</v>
      </c>
      <c r="V104" s="4">
        <f>supply_chain_data[[#This Row],[Closing Stock]]/supply_chain_data[[#This Row],[Forecast Demand]]</f>
        <v>1.25</v>
      </c>
      <c r="W104">
        <v>28135</v>
      </c>
    </row>
    <row r="105" spans="1:23" x14ac:dyDescent="0.35">
      <c r="A105" t="s">
        <v>18</v>
      </c>
      <c r="B105" t="s">
        <v>19</v>
      </c>
      <c r="C105" t="s">
        <v>20</v>
      </c>
      <c r="D105" t="s">
        <v>37</v>
      </c>
      <c r="E105" t="s">
        <v>46</v>
      </c>
      <c r="F105" t="s">
        <v>30</v>
      </c>
      <c r="G105" s="3">
        <v>45395</v>
      </c>
      <c r="H105">
        <v>226</v>
      </c>
      <c r="I105">
        <v>12</v>
      </c>
      <c r="J105" t="str">
        <f>IF(supply_chain_data[[#This Row],[Units Sold]]&gt;supply_chain_data[[#This Row],[Opening Stock]],"Yes","No")</f>
        <v>No</v>
      </c>
      <c r="K105">
        <v>43</v>
      </c>
      <c r="L105">
        <f>supply_chain_data[[#This Row],[Opening Stock]]+supply_chain_data[[#This Row],[Units Received]]-supply_chain_data[[#This Row],[Units Sold]]</f>
        <v>257</v>
      </c>
      <c r="M105">
        <v>257</v>
      </c>
      <c r="N105">
        <v>54</v>
      </c>
      <c r="O105" s="2">
        <v>1176</v>
      </c>
      <c r="P105">
        <v>13</v>
      </c>
      <c r="Q105">
        <v>4</v>
      </c>
      <c r="R10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05" t="s">
        <v>24</v>
      </c>
      <c r="T105">
        <v>10</v>
      </c>
      <c r="U105" s="5">
        <f>MAX(0,MIN(1,1-ABS(supply_chain_data[[#This Row],[Forecast Demand]]-supply_chain_data[[#This Row],[Units Sold]])/supply_chain_data[[#This Row],[Forecast Demand]]))</f>
        <v>0.8</v>
      </c>
      <c r="V105" s="4">
        <f>supply_chain_data[[#This Row],[Closing Stock]]/supply_chain_data[[#This Row],[Forecast Demand]]</f>
        <v>25.7</v>
      </c>
      <c r="W105">
        <v>302232</v>
      </c>
    </row>
    <row r="106" spans="1:23" hidden="1" x14ac:dyDescent="0.35">
      <c r="A106" t="s">
        <v>25</v>
      </c>
      <c r="B106" t="s">
        <v>26</v>
      </c>
      <c r="C106" t="s">
        <v>20</v>
      </c>
      <c r="D106" t="s">
        <v>21</v>
      </c>
      <c r="E106" t="s">
        <v>27</v>
      </c>
      <c r="F106" t="s">
        <v>23</v>
      </c>
      <c r="G106" s="3">
        <v>45396</v>
      </c>
      <c r="H106">
        <v>156</v>
      </c>
      <c r="I106">
        <v>59</v>
      </c>
      <c r="J106" t="str">
        <f>IF(supply_chain_data[[#This Row],[Units Sold]]&gt;supply_chain_data[[#This Row],[Opening Stock]],"Yes","No")</f>
        <v>No</v>
      </c>
      <c r="K106">
        <v>73</v>
      </c>
      <c r="L106">
        <f>supply_chain_data[[#This Row],[Opening Stock]]+supply_chain_data[[#This Row],[Units Received]]-supply_chain_data[[#This Row],[Units Sold]]</f>
        <v>170</v>
      </c>
      <c r="M106">
        <v>170</v>
      </c>
      <c r="N106">
        <v>59</v>
      </c>
      <c r="O106" s="2">
        <v>140</v>
      </c>
      <c r="P106">
        <v>4</v>
      </c>
      <c r="Q106">
        <v>10</v>
      </c>
      <c r="R10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06" t="s">
        <v>24</v>
      </c>
      <c r="T106">
        <v>63</v>
      </c>
      <c r="U106" s="5">
        <f>MAX(0,MIN(1,1-ABS(supply_chain_data[[#This Row],[Forecast Demand]]-supply_chain_data[[#This Row],[Units Sold]])/supply_chain_data[[#This Row],[Forecast Demand]]))</f>
        <v>0.93650793650793651</v>
      </c>
      <c r="V106" s="4">
        <f>supply_chain_data[[#This Row],[Closing Stock]]/supply_chain_data[[#This Row],[Forecast Demand]]</f>
        <v>2.6984126984126986</v>
      </c>
      <c r="W106">
        <v>23800</v>
      </c>
    </row>
    <row r="107" spans="1:23" x14ac:dyDescent="0.35">
      <c r="A107" t="s">
        <v>25</v>
      </c>
      <c r="B107" t="s">
        <v>26</v>
      </c>
      <c r="C107" t="s">
        <v>20</v>
      </c>
      <c r="D107" t="s">
        <v>43</v>
      </c>
      <c r="E107" t="s">
        <v>48</v>
      </c>
      <c r="F107" t="s">
        <v>23</v>
      </c>
      <c r="G107" s="3">
        <v>45397</v>
      </c>
      <c r="H107">
        <v>223</v>
      </c>
      <c r="I107">
        <v>14</v>
      </c>
      <c r="J107" t="str">
        <f>IF(supply_chain_data[[#This Row],[Units Sold]]&gt;supply_chain_data[[#This Row],[Opening Stock]],"Yes","No")</f>
        <v>No</v>
      </c>
      <c r="K107">
        <v>44</v>
      </c>
      <c r="L107">
        <f>supply_chain_data[[#This Row],[Opening Stock]]+supply_chain_data[[#This Row],[Units Received]]-supply_chain_data[[#This Row],[Units Sold]]</f>
        <v>253</v>
      </c>
      <c r="M107">
        <v>253</v>
      </c>
      <c r="N107">
        <v>48</v>
      </c>
      <c r="O107" s="2">
        <v>324</v>
      </c>
      <c r="P107">
        <v>4</v>
      </c>
      <c r="Q107">
        <v>2</v>
      </c>
      <c r="R10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07" t="s">
        <v>24</v>
      </c>
      <c r="T107">
        <v>19</v>
      </c>
      <c r="U107" s="5">
        <f>MAX(0,MIN(1,1-ABS(supply_chain_data[[#This Row],[Forecast Demand]]-supply_chain_data[[#This Row],[Units Sold]])/supply_chain_data[[#This Row],[Forecast Demand]]))</f>
        <v>0.73684210526315796</v>
      </c>
      <c r="V107" s="4">
        <f>supply_chain_data[[#This Row],[Closing Stock]]/supply_chain_data[[#This Row],[Forecast Demand]]</f>
        <v>13.315789473684211</v>
      </c>
      <c r="W107">
        <v>81972</v>
      </c>
    </row>
    <row r="108" spans="1:23" hidden="1" x14ac:dyDescent="0.35">
      <c r="A108" t="s">
        <v>28</v>
      </c>
      <c r="B108" t="s">
        <v>29</v>
      </c>
      <c r="C108" t="s">
        <v>20</v>
      </c>
      <c r="D108" t="s">
        <v>43</v>
      </c>
      <c r="E108" t="s">
        <v>48</v>
      </c>
      <c r="F108" t="s">
        <v>30</v>
      </c>
      <c r="G108" s="3">
        <v>45398</v>
      </c>
      <c r="H108">
        <v>112</v>
      </c>
      <c r="I108">
        <v>32</v>
      </c>
      <c r="J108" t="str">
        <f>IF(supply_chain_data[[#This Row],[Units Sold]]&gt;supply_chain_data[[#This Row],[Opening Stock]],"Yes","No")</f>
        <v>No</v>
      </c>
      <c r="K108">
        <v>17</v>
      </c>
      <c r="L108">
        <f>supply_chain_data[[#This Row],[Opening Stock]]+supply_chain_data[[#This Row],[Units Received]]-supply_chain_data[[#This Row],[Units Sold]]</f>
        <v>97</v>
      </c>
      <c r="M108">
        <v>97</v>
      </c>
      <c r="N108">
        <v>91</v>
      </c>
      <c r="O108" s="2">
        <v>881</v>
      </c>
      <c r="P108">
        <v>11</v>
      </c>
      <c r="Q108">
        <v>7</v>
      </c>
      <c r="R10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108" t="s">
        <v>24</v>
      </c>
      <c r="T108">
        <v>66</v>
      </c>
      <c r="U108" s="5">
        <f>MAX(0,MIN(1,1-ABS(supply_chain_data[[#This Row],[Forecast Demand]]-supply_chain_data[[#This Row],[Units Sold]])/supply_chain_data[[#This Row],[Forecast Demand]]))</f>
        <v>0.48484848484848486</v>
      </c>
      <c r="V108" s="4">
        <f>supply_chain_data[[#This Row],[Closing Stock]]/supply_chain_data[[#This Row],[Forecast Demand]]</f>
        <v>1.4696969696969697</v>
      </c>
      <c r="W108">
        <v>85457</v>
      </c>
    </row>
    <row r="109" spans="1:23" x14ac:dyDescent="0.35">
      <c r="A109" t="s">
        <v>28</v>
      </c>
      <c r="B109" t="s">
        <v>29</v>
      </c>
      <c r="C109" t="s">
        <v>20</v>
      </c>
      <c r="D109" t="s">
        <v>43</v>
      </c>
      <c r="E109" t="s">
        <v>44</v>
      </c>
      <c r="F109" t="s">
        <v>23</v>
      </c>
      <c r="G109" s="3">
        <v>45399</v>
      </c>
      <c r="H109">
        <v>117</v>
      </c>
      <c r="I109">
        <v>44</v>
      </c>
      <c r="J109" t="str">
        <f>IF(supply_chain_data[[#This Row],[Units Sold]]&gt;supply_chain_data[[#This Row],[Opening Stock]],"Yes","No")</f>
        <v>No</v>
      </c>
      <c r="K109">
        <v>33</v>
      </c>
      <c r="L109">
        <f>supply_chain_data[[#This Row],[Opening Stock]]+supply_chain_data[[#This Row],[Units Received]]-supply_chain_data[[#This Row],[Units Sold]]</f>
        <v>106</v>
      </c>
      <c r="M109">
        <v>106</v>
      </c>
      <c r="N109">
        <v>51</v>
      </c>
      <c r="O109" s="2">
        <v>243</v>
      </c>
      <c r="P109">
        <v>10</v>
      </c>
      <c r="Q109">
        <v>10</v>
      </c>
      <c r="R10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09" t="s">
        <v>24</v>
      </c>
      <c r="T109">
        <v>19</v>
      </c>
      <c r="U109" s="5">
        <f>MAX(0,MIN(1,1-ABS(supply_chain_data[[#This Row],[Forecast Demand]]-supply_chain_data[[#This Row],[Units Sold]])/supply_chain_data[[#This Row],[Forecast Demand]]))</f>
        <v>0</v>
      </c>
      <c r="V109" s="4">
        <f>supply_chain_data[[#This Row],[Closing Stock]]/supply_chain_data[[#This Row],[Forecast Demand]]</f>
        <v>5.5789473684210522</v>
      </c>
      <c r="W109">
        <v>25758</v>
      </c>
    </row>
    <row r="110" spans="1:23" hidden="1" x14ac:dyDescent="0.35">
      <c r="A110" t="s">
        <v>18</v>
      </c>
      <c r="B110" t="s">
        <v>19</v>
      </c>
      <c r="C110" t="s">
        <v>20</v>
      </c>
      <c r="D110" t="s">
        <v>37</v>
      </c>
      <c r="E110" t="s">
        <v>38</v>
      </c>
      <c r="F110" t="s">
        <v>33</v>
      </c>
      <c r="G110" s="3">
        <v>45400</v>
      </c>
      <c r="H110">
        <v>200</v>
      </c>
      <c r="I110">
        <v>34</v>
      </c>
      <c r="J110" t="str">
        <f>IF(supply_chain_data[[#This Row],[Units Sold]]&gt;supply_chain_data[[#This Row],[Opening Stock]],"Yes","No")</f>
        <v>No</v>
      </c>
      <c r="K110">
        <v>27</v>
      </c>
      <c r="L110">
        <f>supply_chain_data[[#This Row],[Opening Stock]]+supply_chain_data[[#This Row],[Units Received]]-supply_chain_data[[#This Row],[Units Sold]]</f>
        <v>193</v>
      </c>
      <c r="M110">
        <v>193</v>
      </c>
      <c r="N110">
        <v>84</v>
      </c>
      <c r="O110" s="2">
        <v>448</v>
      </c>
      <c r="P110">
        <v>15</v>
      </c>
      <c r="Q110">
        <v>2</v>
      </c>
      <c r="R11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10" t="s">
        <v>24</v>
      </c>
      <c r="T110">
        <v>49</v>
      </c>
      <c r="U110" s="5">
        <f>MAX(0,MIN(1,1-ABS(supply_chain_data[[#This Row],[Forecast Demand]]-supply_chain_data[[#This Row],[Units Sold]])/supply_chain_data[[#This Row],[Forecast Demand]]))</f>
        <v>0.69387755102040816</v>
      </c>
      <c r="V110" s="4">
        <f>supply_chain_data[[#This Row],[Closing Stock]]/supply_chain_data[[#This Row],[Forecast Demand]]</f>
        <v>3.9387755102040818</v>
      </c>
      <c r="W110">
        <v>86464</v>
      </c>
    </row>
    <row r="111" spans="1:23" x14ac:dyDescent="0.35">
      <c r="A111" t="s">
        <v>18</v>
      </c>
      <c r="B111" t="s">
        <v>19</v>
      </c>
      <c r="C111" t="s">
        <v>20</v>
      </c>
      <c r="D111" t="s">
        <v>37</v>
      </c>
      <c r="E111" t="s">
        <v>38</v>
      </c>
      <c r="F111" t="s">
        <v>23</v>
      </c>
      <c r="G111" s="3">
        <v>45401</v>
      </c>
      <c r="H111">
        <v>93</v>
      </c>
      <c r="I111">
        <v>21</v>
      </c>
      <c r="J111" t="str">
        <f>IF(supply_chain_data[[#This Row],[Units Sold]]&gt;supply_chain_data[[#This Row],[Opening Stock]],"Yes","No")</f>
        <v>No</v>
      </c>
      <c r="K111">
        <v>62</v>
      </c>
      <c r="L111">
        <f>supply_chain_data[[#This Row],[Opening Stock]]+supply_chain_data[[#This Row],[Units Received]]-supply_chain_data[[#This Row],[Units Sold]]</f>
        <v>134</v>
      </c>
      <c r="M111">
        <v>134</v>
      </c>
      <c r="N111">
        <v>82</v>
      </c>
      <c r="O111" s="2">
        <v>815</v>
      </c>
      <c r="P111">
        <v>15</v>
      </c>
      <c r="Q111">
        <v>7</v>
      </c>
      <c r="R11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11" t="s">
        <v>24</v>
      </c>
      <c r="T111">
        <v>30</v>
      </c>
      <c r="U111" s="5">
        <f>MAX(0,MIN(1,1-ABS(supply_chain_data[[#This Row],[Forecast Demand]]-supply_chain_data[[#This Row],[Units Sold]])/supply_chain_data[[#This Row],[Forecast Demand]]))</f>
        <v>0.7</v>
      </c>
      <c r="V111" s="4">
        <f>supply_chain_data[[#This Row],[Closing Stock]]/supply_chain_data[[#This Row],[Forecast Demand]]</f>
        <v>4.4666666666666668</v>
      </c>
      <c r="W111">
        <v>109210</v>
      </c>
    </row>
    <row r="112" spans="1:23" hidden="1" x14ac:dyDescent="0.35">
      <c r="A112" t="s">
        <v>28</v>
      </c>
      <c r="B112" t="s">
        <v>29</v>
      </c>
      <c r="C112" t="s">
        <v>20</v>
      </c>
      <c r="D112" t="s">
        <v>21</v>
      </c>
      <c r="E112" t="s">
        <v>22</v>
      </c>
      <c r="F112" t="s">
        <v>30</v>
      </c>
      <c r="G112" s="3">
        <v>45402</v>
      </c>
      <c r="H112">
        <v>70</v>
      </c>
      <c r="I112">
        <v>23</v>
      </c>
      <c r="J112" t="str">
        <f>IF(supply_chain_data[[#This Row],[Units Sold]]&gt;supply_chain_data[[#This Row],[Opening Stock]],"Yes","No")</f>
        <v>No</v>
      </c>
      <c r="K112">
        <v>48</v>
      </c>
      <c r="L112">
        <f>supply_chain_data[[#This Row],[Opening Stock]]+supply_chain_data[[#This Row],[Units Received]]-supply_chain_data[[#This Row],[Units Sold]]</f>
        <v>95</v>
      </c>
      <c r="M112">
        <v>95</v>
      </c>
      <c r="N112">
        <v>67</v>
      </c>
      <c r="O112" s="2">
        <v>244</v>
      </c>
      <c r="P112">
        <v>12</v>
      </c>
      <c r="Q112">
        <v>6</v>
      </c>
      <c r="R11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12" t="s">
        <v>24</v>
      </c>
      <c r="T112">
        <v>26</v>
      </c>
      <c r="U112" s="5">
        <f>MAX(0,MIN(1,1-ABS(supply_chain_data[[#This Row],[Forecast Demand]]-supply_chain_data[[#This Row],[Units Sold]])/supply_chain_data[[#This Row],[Forecast Demand]]))</f>
        <v>0.88461538461538458</v>
      </c>
      <c r="V112" s="4">
        <f>supply_chain_data[[#This Row],[Closing Stock]]/supply_chain_data[[#This Row],[Forecast Demand]]</f>
        <v>3.6538461538461537</v>
      </c>
      <c r="W112">
        <v>23180</v>
      </c>
    </row>
    <row r="113" spans="1:23" hidden="1" x14ac:dyDescent="0.35">
      <c r="A113" t="s">
        <v>18</v>
      </c>
      <c r="B113" t="s">
        <v>19</v>
      </c>
      <c r="C113" t="s">
        <v>20</v>
      </c>
      <c r="D113" t="s">
        <v>37</v>
      </c>
      <c r="E113" t="s">
        <v>38</v>
      </c>
      <c r="F113" t="s">
        <v>33</v>
      </c>
      <c r="G113" s="3">
        <v>45403</v>
      </c>
      <c r="H113">
        <v>132</v>
      </c>
      <c r="I113">
        <v>45</v>
      </c>
      <c r="J113" t="str">
        <f>IF(supply_chain_data[[#This Row],[Units Sold]]&gt;supply_chain_data[[#This Row],[Opening Stock]],"Yes","No")</f>
        <v>No</v>
      </c>
      <c r="K113">
        <v>69</v>
      </c>
      <c r="L113">
        <f>supply_chain_data[[#This Row],[Opening Stock]]+supply_chain_data[[#This Row],[Units Received]]-supply_chain_data[[#This Row],[Units Sold]]</f>
        <v>156</v>
      </c>
      <c r="M113">
        <v>156</v>
      </c>
      <c r="N113">
        <v>76</v>
      </c>
      <c r="O113" s="2">
        <v>482</v>
      </c>
      <c r="P113">
        <v>3</v>
      </c>
      <c r="Q113">
        <v>10</v>
      </c>
      <c r="R11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13" t="s">
        <v>24</v>
      </c>
      <c r="T113">
        <v>60</v>
      </c>
      <c r="U113" s="5">
        <f>MAX(0,MIN(1,1-ABS(supply_chain_data[[#This Row],[Forecast Demand]]-supply_chain_data[[#This Row],[Units Sold]])/supply_chain_data[[#This Row],[Forecast Demand]]))</f>
        <v>0.75</v>
      </c>
      <c r="V113" s="4">
        <f>supply_chain_data[[#This Row],[Closing Stock]]/supply_chain_data[[#This Row],[Forecast Demand]]</f>
        <v>2.6</v>
      </c>
      <c r="W113">
        <v>75192</v>
      </c>
    </row>
    <row r="114" spans="1:23" hidden="1" x14ac:dyDescent="0.35">
      <c r="A114" t="s">
        <v>34</v>
      </c>
      <c r="B114" t="s">
        <v>35</v>
      </c>
      <c r="C114" t="s">
        <v>20</v>
      </c>
      <c r="D114" t="s">
        <v>21</v>
      </c>
      <c r="E114" t="s">
        <v>27</v>
      </c>
      <c r="F114" t="s">
        <v>33</v>
      </c>
      <c r="G114" s="3">
        <v>45404</v>
      </c>
      <c r="H114">
        <v>75</v>
      </c>
      <c r="I114">
        <v>17</v>
      </c>
      <c r="J114" t="str">
        <f>IF(supply_chain_data[[#This Row],[Units Sold]]&gt;supply_chain_data[[#This Row],[Opening Stock]],"Yes","No")</f>
        <v>No</v>
      </c>
      <c r="K114">
        <v>48</v>
      </c>
      <c r="L114">
        <f>supply_chain_data[[#This Row],[Opening Stock]]+supply_chain_data[[#This Row],[Units Received]]-supply_chain_data[[#This Row],[Units Sold]]</f>
        <v>106</v>
      </c>
      <c r="M114">
        <v>106</v>
      </c>
      <c r="N114">
        <v>67</v>
      </c>
      <c r="O114" s="2">
        <v>655</v>
      </c>
      <c r="P114">
        <v>12</v>
      </c>
      <c r="Q114">
        <v>7</v>
      </c>
      <c r="R11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14" t="s">
        <v>24</v>
      </c>
      <c r="T114">
        <v>43</v>
      </c>
      <c r="U114" s="5">
        <f>MAX(0,MIN(1,1-ABS(supply_chain_data[[#This Row],[Forecast Demand]]-supply_chain_data[[#This Row],[Units Sold]])/supply_chain_data[[#This Row],[Forecast Demand]]))</f>
        <v>0.39534883720930236</v>
      </c>
      <c r="V114" s="4">
        <f>supply_chain_data[[#This Row],[Closing Stock]]/supply_chain_data[[#This Row],[Forecast Demand]]</f>
        <v>2.4651162790697674</v>
      </c>
      <c r="W114">
        <v>69430</v>
      </c>
    </row>
    <row r="115" spans="1:23" hidden="1" x14ac:dyDescent="0.35">
      <c r="A115" t="s">
        <v>25</v>
      </c>
      <c r="B115" t="s">
        <v>26</v>
      </c>
      <c r="C115" t="s">
        <v>20</v>
      </c>
      <c r="D115" t="s">
        <v>37</v>
      </c>
      <c r="E115" t="s">
        <v>38</v>
      </c>
      <c r="F115" t="s">
        <v>33</v>
      </c>
      <c r="G115" s="3">
        <v>45405</v>
      </c>
      <c r="H115">
        <v>103</v>
      </c>
      <c r="I115">
        <v>40</v>
      </c>
      <c r="J115" t="str">
        <f>IF(supply_chain_data[[#This Row],[Units Sold]]&gt;supply_chain_data[[#This Row],[Opening Stock]],"Yes","No")</f>
        <v>No</v>
      </c>
      <c r="K115">
        <v>27</v>
      </c>
      <c r="L115">
        <f>supply_chain_data[[#This Row],[Opening Stock]]+supply_chain_data[[#This Row],[Units Received]]-supply_chain_data[[#This Row],[Units Sold]]</f>
        <v>90</v>
      </c>
      <c r="M115">
        <v>90</v>
      </c>
      <c r="N115">
        <v>84</v>
      </c>
      <c r="O115" s="2">
        <v>54</v>
      </c>
      <c r="P115">
        <v>14</v>
      </c>
      <c r="Q115">
        <v>3</v>
      </c>
      <c r="R11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15" t="s">
        <v>24</v>
      </c>
      <c r="T115">
        <v>35</v>
      </c>
      <c r="U115" s="5">
        <f>MAX(0,MIN(1,1-ABS(supply_chain_data[[#This Row],[Forecast Demand]]-supply_chain_data[[#This Row],[Units Sold]])/supply_chain_data[[#This Row],[Forecast Demand]]))</f>
        <v>0.85714285714285721</v>
      </c>
      <c r="V115" s="4">
        <f>supply_chain_data[[#This Row],[Closing Stock]]/supply_chain_data[[#This Row],[Forecast Demand]]</f>
        <v>2.5714285714285716</v>
      </c>
      <c r="W115">
        <v>4860</v>
      </c>
    </row>
    <row r="116" spans="1:23" hidden="1" x14ac:dyDescent="0.35">
      <c r="A116" t="s">
        <v>41</v>
      </c>
      <c r="B116" t="s">
        <v>42</v>
      </c>
      <c r="C116" t="s">
        <v>20</v>
      </c>
      <c r="D116" t="s">
        <v>39</v>
      </c>
      <c r="E116" t="s">
        <v>45</v>
      </c>
      <c r="F116" t="s">
        <v>33</v>
      </c>
      <c r="G116" s="3">
        <v>45406</v>
      </c>
      <c r="H116">
        <v>75</v>
      </c>
      <c r="I116">
        <v>38</v>
      </c>
      <c r="J116" t="str">
        <f>IF(supply_chain_data[[#This Row],[Units Sold]]&gt;supply_chain_data[[#This Row],[Opening Stock]],"Yes","No")</f>
        <v>No</v>
      </c>
      <c r="K116">
        <v>68</v>
      </c>
      <c r="L116">
        <f>supply_chain_data[[#This Row],[Opening Stock]]+supply_chain_data[[#This Row],[Units Received]]-supply_chain_data[[#This Row],[Units Sold]]</f>
        <v>105</v>
      </c>
      <c r="M116">
        <v>105</v>
      </c>
      <c r="N116">
        <v>85</v>
      </c>
      <c r="O116" s="2">
        <v>56</v>
      </c>
      <c r="P116">
        <v>14</v>
      </c>
      <c r="Q116">
        <v>2</v>
      </c>
      <c r="R11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16" t="s">
        <v>24</v>
      </c>
      <c r="T116">
        <v>50</v>
      </c>
      <c r="U116" s="5">
        <f>MAX(0,MIN(1,1-ABS(supply_chain_data[[#This Row],[Forecast Demand]]-supply_chain_data[[#This Row],[Units Sold]])/supply_chain_data[[#This Row],[Forecast Demand]]))</f>
        <v>0.76</v>
      </c>
      <c r="V116" s="4">
        <f>supply_chain_data[[#This Row],[Closing Stock]]/supply_chain_data[[#This Row],[Forecast Demand]]</f>
        <v>2.1</v>
      </c>
      <c r="W116">
        <v>5880</v>
      </c>
    </row>
    <row r="117" spans="1:23" hidden="1" x14ac:dyDescent="0.35">
      <c r="A117" t="s">
        <v>18</v>
      </c>
      <c r="B117" t="s">
        <v>19</v>
      </c>
      <c r="C117" t="s">
        <v>20</v>
      </c>
      <c r="D117" t="s">
        <v>37</v>
      </c>
      <c r="E117" t="s">
        <v>46</v>
      </c>
      <c r="F117" t="s">
        <v>33</v>
      </c>
      <c r="G117" s="3">
        <v>45407</v>
      </c>
      <c r="H117">
        <v>193</v>
      </c>
      <c r="I117">
        <v>56</v>
      </c>
      <c r="J117" t="str">
        <f>IF(supply_chain_data[[#This Row],[Units Sold]]&gt;supply_chain_data[[#This Row],[Opening Stock]],"Yes","No")</f>
        <v>No</v>
      </c>
      <c r="K117">
        <v>11</v>
      </c>
      <c r="L117">
        <f>supply_chain_data[[#This Row],[Opening Stock]]+supply_chain_data[[#This Row],[Units Received]]-supply_chain_data[[#This Row],[Units Sold]]</f>
        <v>148</v>
      </c>
      <c r="M117">
        <v>148</v>
      </c>
      <c r="N117">
        <v>44</v>
      </c>
      <c r="O117" s="2">
        <v>943</v>
      </c>
      <c r="P117">
        <v>15</v>
      </c>
      <c r="Q117">
        <v>3</v>
      </c>
      <c r="R11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17" t="s">
        <v>24</v>
      </c>
      <c r="T117">
        <v>47</v>
      </c>
      <c r="U117" s="5">
        <f>MAX(0,MIN(1,1-ABS(supply_chain_data[[#This Row],[Forecast Demand]]-supply_chain_data[[#This Row],[Units Sold]])/supply_chain_data[[#This Row],[Forecast Demand]]))</f>
        <v>0.8085106382978724</v>
      </c>
      <c r="V117" s="4">
        <f>supply_chain_data[[#This Row],[Closing Stock]]/supply_chain_data[[#This Row],[Forecast Demand]]</f>
        <v>3.1489361702127661</v>
      </c>
      <c r="W117">
        <v>139564</v>
      </c>
    </row>
    <row r="118" spans="1:23" x14ac:dyDescent="0.35">
      <c r="A118" t="s">
        <v>34</v>
      </c>
      <c r="B118" t="s">
        <v>35</v>
      </c>
      <c r="C118" t="s">
        <v>20</v>
      </c>
      <c r="D118" t="s">
        <v>31</v>
      </c>
      <c r="E118" t="s">
        <v>47</v>
      </c>
      <c r="F118" t="s">
        <v>30</v>
      </c>
      <c r="G118" s="3">
        <v>45408</v>
      </c>
      <c r="H118">
        <v>271</v>
      </c>
      <c r="I118">
        <v>58</v>
      </c>
      <c r="J118" t="str">
        <f>IF(supply_chain_data[[#This Row],[Units Sold]]&gt;supply_chain_data[[#This Row],[Opening Stock]],"Yes","No")</f>
        <v>No</v>
      </c>
      <c r="K118">
        <v>23</v>
      </c>
      <c r="L118">
        <f>supply_chain_data[[#This Row],[Opening Stock]]+supply_chain_data[[#This Row],[Units Received]]-supply_chain_data[[#This Row],[Units Sold]]</f>
        <v>236</v>
      </c>
      <c r="M118">
        <v>236</v>
      </c>
      <c r="N118">
        <v>87</v>
      </c>
      <c r="O118" s="2">
        <v>741</v>
      </c>
      <c r="P118">
        <v>13</v>
      </c>
      <c r="Q118">
        <v>2</v>
      </c>
      <c r="R11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18" t="s">
        <v>24</v>
      </c>
      <c r="T118">
        <v>52</v>
      </c>
      <c r="U118" s="5">
        <f>MAX(0,MIN(1,1-ABS(supply_chain_data[[#This Row],[Forecast Demand]]-supply_chain_data[[#This Row],[Units Sold]])/supply_chain_data[[#This Row],[Forecast Demand]]))</f>
        <v>0.88461538461538458</v>
      </c>
      <c r="V118" s="4">
        <f>supply_chain_data[[#This Row],[Closing Stock]]/supply_chain_data[[#This Row],[Forecast Demand]]</f>
        <v>4.5384615384615383</v>
      </c>
      <c r="W118">
        <v>174876</v>
      </c>
    </row>
    <row r="119" spans="1:23" x14ac:dyDescent="0.35">
      <c r="A119" t="s">
        <v>28</v>
      </c>
      <c r="B119" t="s">
        <v>29</v>
      </c>
      <c r="C119" t="s">
        <v>20</v>
      </c>
      <c r="D119" t="s">
        <v>39</v>
      </c>
      <c r="E119" t="s">
        <v>45</v>
      </c>
      <c r="F119" t="s">
        <v>30</v>
      </c>
      <c r="G119" s="3">
        <v>45409</v>
      </c>
      <c r="H119">
        <v>147</v>
      </c>
      <c r="I119">
        <v>15</v>
      </c>
      <c r="J119" t="str">
        <f>IF(supply_chain_data[[#This Row],[Units Sold]]&gt;supply_chain_data[[#This Row],[Opening Stock]],"Yes","No")</f>
        <v>No</v>
      </c>
      <c r="K119">
        <v>68</v>
      </c>
      <c r="L119">
        <f>supply_chain_data[[#This Row],[Opening Stock]]+supply_chain_data[[#This Row],[Units Received]]-supply_chain_data[[#This Row],[Units Sold]]</f>
        <v>200</v>
      </c>
      <c r="M119">
        <v>200</v>
      </c>
      <c r="N119">
        <v>70</v>
      </c>
      <c r="O119" s="2">
        <v>520</v>
      </c>
      <c r="P119">
        <v>9</v>
      </c>
      <c r="Q119">
        <v>5</v>
      </c>
      <c r="R11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19" t="s">
        <v>24</v>
      </c>
      <c r="T119">
        <v>13</v>
      </c>
      <c r="U119" s="5">
        <f>MAX(0,MIN(1,1-ABS(supply_chain_data[[#This Row],[Forecast Demand]]-supply_chain_data[[#This Row],[Units Sold]])/supply_chain_data[[#This Row],[Forecast Demand]]))</f>
        <v>0.84615384615384615</v>
      </c>
      <c r="V119" s="4">
        <f>supply_chain_data[[#This Row],[Closing Stock]]/supply_chain_data[[#This Row],[Forecast Demand]]</f>
        <v>15.384615384615385</v>
      </c>
      <c r="W119">
        <v>104000</v>
      </c>
    </row>
    <row r="120" spans="1:23" x14ac:dyDescent="0.35">
      <c r="A120" t="s">
        <v>18</v>
      </c>
      <c r="B120" t="s">
        <v>19</v>
      </c>
      <c r="C120" t="s">
        <v>20</v>
      </c>
      <c r="D120" t="s">
        <v>37</v>
      </c>
      <c r="E120" t="s">
        <v>38</v>
      </c>
      <c r="F120" t="s">
        <v>33</v>
      </c>
      <c r="G120" s="3">
        <v>45410</v>
      </c>
      <c r="H120">
        <v>229</v>
      </c>
      <c r="I120">
        <v>52</v>
      </c>
      <c r="J120" t="str">
        <f>IF(supply_chain_data[[#This Row],[Units Sold]]&gt;supply_chain_data[[#This Row],[Opening Stock]],"Yes","No")</f>
        <v>No</v>
      </c>
      <c r="K120">
        <v>46</v>
      </c>
      <c r="L120">
        <f>supply_chain_data[[#This Row],[Opening Stock]]+supply_chain_data[[#This Row],[Units Received]]-supply_chain_data[[#This Row],[Units Sold]]</f>
        <v>223</v>
      </c>
      <c r="M120">
        <v>223</v>
      </c>
      <c r="N120">
        <v>51</v>
      </c>
      <c r="O120" s="2">
        <v>1043</v>
      </c>
      <c r="P120">
        <v>11</v>
      </c>
      <c r="Q120">
        <v>9</v>
      </c>
      <c r="R12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20" t="s">
        <v>24</v>
      </c>
      <c r="T120">
        <v>12</v>
      </c>
      <c r="U120" s="5">
        <f>MAX(0,MIN(1,1-ABS(supply_chain_data[[#This Row],[Forecast Demand]]-supply_chain_data[[#This Row],[Units Sold]])/supply_chain_data[[#This Row],[Forecast Demand]]))</f>
        <v>0</v>
      </c>
      <c r="V120" s="4">
        <f>supply_chain_data[[#This Row],[Closing Stock]]/supply_chain_data[[#This Row],[Forecast Demand]]</f>
        <v>18.583333333333332</v>
      </c>
      <c r="W120">
        <v>232589</v>
      </c>
    </row>
    <row r="121" spans="1:23" x14ac:dyDescent="0.35">
      <c r="A121" t="s">
        <v>34</v>
      </c>
      <c r="B121" t="s">
        <v>35</v>
      </c>
      <c r="C121" t="s">
        <v>20</v>
      </c>
      <c r="D121" t="s">
        <v>37</v>
      </c>
      <c r="E121" t="s">
        <v>38</v>
      </c>
      <c r="F121" t="s">
        <v>30</v>
      </c>
      <c r="G121" s="3">
        <v>45411</v>
      </c>
      <c r="H121">
        <v>167</v>
      </c>
      <c r="I121">
        <v>21</v>
      </c>
      <c r="J121" t="str">
        <f>IF(supply_chain_data[[#This Row],[Units Sold]]&gt;supply_chain_data[[#This Row],[Opening Stock]],"Yes","No")</f>
        <v>No</v>
      </c>
      <c r="K121">
        <v>3</v>
      </c>
      <c r="L121">
        <f>supply_chain_data[[#This Row],[Opening Stock]]+supply_chain_data[[#This Row],[Units Received]]-supply_chain_data[[#This Row],[Units Sold]]</f>
        <v>149</v>
      </c>
      <c r="M121">
        <v>149</v>
      </c>
      <c r="N121">
        <v>78</v>
      </c>
      <c r="O121" s="2">
        <v>749</v>
      </c>
      <c r="P121">
        <v>8</v>
      </c>
      <c r="Q121">
        <v>5</v>
      </c>
      <c r="R12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21" t="s">
        <v>24</v>
      </c>
      <c r="T121">
        <v>28</v>
      </c>
      <c r="U121" s="5">
        <f>MAX(0,MIN(1,1-ABS(supply_chain_data[[#This Row],[Forecast Demand]]-supply_chain_data[[#This Row],[Units Sold]])/supply_chain_data[[#This Row],[Forecast Demand]]))</f>
        <v>0.75</v>
      </c>
      <c r="V121" s="4">
        <f>supply_chain_data[[#This Row],[Closing Stock]]/supply_chain_data[[#This Row],[Forecast Demand]]</f>
        <v>5.3214285714285712</v>
      </c>
      <c r="W121">
        <v>111601</v>
      </c>
    </row>
    <row r="122" spans="1:23" x14ac:dyDescent="0.35">
      <c r="A122" t="s">
        <v>28</v>
      </c>
      <c r="B122" t="s">
        <v>29</v>
      </c>
      <c r="C122" t="s">
        <v>20</v>
      </c>
      <c r="D122" t="s">
        <v>37</v>
      </c>
      <c r="E122" t="s">
        <v>38</v>
      </c>
      <c r="F122" t="s">
        <v>30</v>
      </c>
      <c r="G122" s="3">
        <v>45292</v>
      </c>
      <c r="H122">
        <v>223</v>
      </c>
      <c r="I122">
        <v>40</v>
      </c>
      <c r="J122" t="str">
        <f>IF(supply_chain_data[[#This Row],[Units Sold]]&gt;supply_chain_data[[#This Row],[Opening Stock]],"Yes","No")</f>
        <v>No</v>
      </c>
      <c r="K122">
        <v>27</v>
      </c>
      <c r="L122">
        <f>supply_chain_data[[#This Row],[Opening Stock]]+supply_chain_data[[#This Row],[Units Received]]-supply_chain_data[[#This Row],[Units Sold]]</f>
        <v>210</v>
      </c>
      <c r="M122">
        <v>210</v>
      </c>
      <c r="N122">
        <v>51</v>
      </c>
      <c r="O122" s="2">
        <v>918</v>
      </c>
      <c r="P122">
        <v>9</v>
      </c>
      <c r="Q122">
        <v>4</v>
      </c>
      <c r="R12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22" t="s">
        <v>24</v>
      </c>
      <c r="T122">
        <v>15</v>
      </c>
      <c r="U122" s="5">
        <f>MAX(0,MIN(1,1-ABS(supply_chain_data[[#This Row],[Forecast Demand]]-supply_chain_data[[#This Row],[Units Sold]])/supply_chain_data[[#This Row],[Forecast Demand]]))</f>
        <v>0</v>
      </c>
      <c r="V122" s="4">
        <f>supply_chain_data[[#This Row],[Closing Stock]]/supply_chain_data[[#This Row],[Forecast Demand]]</f>
        <v>14</v>
      </c>
      <c r="W122">
        <v>192780</v>
      </c>
    </row>
    <row r="123" spans="1:23" hidden="1" x14ac:dyDescent="0.35">
      <c r="A123" t="s">
        <v>34</v>
      </c>
      <c r="B123" t="s">
        <v>35</v>
      </c>
      <c r="C123" t="s">
        <v>20</v>
      </c>
      <c r="D123" t="s">
        <v>31</v>
      </c>
      <c r="E123" t="s">
        <v>47</v>
      </c>
      <c r="F123" t="s">
        <v>33</v>
      </c>
      <c r="G123" s="3">
        <v>45293</v>
      </c>
      <c r="H123">
        <v>203</v>
      </c>
      <c r="I123">
        <v>53</v>
      </c>
      <c r="J123" t="str">
        <f>IF(supply_chain_data[[#This Row],[Units Sold]]&gt;supply_chain_data[[#This Row],[Opening Stock]],"Yes","No")</f>
        <v>No</v>
      </c>
      <c r="K123">
        <v>32</v>
      </c>
      <c r="L123">
        <f>supply_chain_data[[#This Row],[Opening Stock]]+supply_chain_data[[#This Row],[Units Received]]-supply_chain_data[[#This Row],[Units Sold]]</f>
        <v>182</v>
      </c>
      <c r="M123">
        <v>182</v>
      </c>
      <c r="N123">
        <v>65</v>
      </c>
      <c r="O123" s="2">
        <v>1288</v>
      </c>
      <c r="P123">
        <v>7</v>
      </c>
      <c r="Q123">
        <v>4</v>
      </c>
      <c r="R12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23" t="s">
        <v>24</v>
      </c>
      <c r="T123">
        <v>57</v>
      </c>
      <c r="U123" s="5">
        <f>MAX(0,MIN(1,1-ABS(supply_chain_data[[#This Row],[Forecast Demand]]-supply_chain_data[[#This Row],[Units Sold]])/supply_chain_data[[#This Row],[Forecast Demand]]))</f>
        <v>0.92982456140350878</v>
      </c>
      <c r="V123" s="4">
        <f>supply_chain_data[[#This Row],[Closing Stock]]/supply_chain_data[[#This Row],[Forecast Demand]]</f>
        <v>3.192982456140351</v>
      </c>
      <c r="W123">
        <v>234416</v>
      </c>
    </row>
    <row r="124" spans="1:23" hidden="1" x14ac:dyDescent="0.35">
      <c r="A124" t="s">
        <v>18</v>
      </c>
      <c r="B124" t="s">
        <v>19</v>
      </c>
      <c r="C124" t="s">
        <v>20</v>
      </c>
      <c r="D124" t="s">
        <v>31</v>
      </c>
      <c r="E124" t="s">
        <v>47</v>
      </c>
      <c r="F124" t="s">
        <v>23</v>
      </c>
      <c r="G124" s="3">
        <v>45294</v>
      </c>
      <c r="H124">
        <v>88</v>
      </c>
      <c r="I124">
        <v>30</v>
      </c>
      <c r="J124" t="str">
        <f>IF(supply_chain_data[[#This Row],[Units Sold]]&gt;supply_chain_data[[#This Row],[Opening Stock]],"Yes","No")</f>
        <v>No</v>
      </c>
      <c r="K124">
        <v>32</v>
      </c>
      <c r="L124">
        <f>supply_chain_data[[#This Row],[Opening Stock]]+supply_chain_data[[#This Row],[Units Received]]-supply_chain_data[[#This Row],[Units Sold]]</f>
        <v>90</v>
      </c>
      <c r="M124">
        <v>90</v>
      </c>
      <c r="N124">
        <v>91</v>
      </c>
      <c r="O124" s="2">
        <v>1313</v>
      </c>
      <c r="P124">
        <v>14</v>
      </c>
      <c r="Q124">
        <v>5</v>
      </c>
      <c r="R12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124" t="s">
        <v>36</v>
      </c>
      <c r="T124">
        <v>44</v>
      </c>
      <c r="U124" s="5">
        <f>MAX(0,MIN(1,1-ABS(supply_chain_data[[#This Row],[Forecast Demand]]-supply_chain_data[[#This Row],[Units Sold]])/supply_chain_data[[#This Row],[Forecast Demand]]))</f>
        <v>0.68181818181818188</v>
      </c>
      <c r="V124" s="4">
        <f>supply_chain_data[[#This Row],[Closing Stock]]/supply_chain_data[[#This Row],[Forecast Demand]]</f>
        <v>2.0454545454545454</v>
      </c>
      <c r="W124">
        <v>118170</v>
      </c>
    </row>
    <row r="125" spans="1:23" hidden="1" x14ac:dyDescent="0.35">
      <c r="A125" t="s">
        <v>28</v>
      </c>
      <c r="B125" t="s">
        <v>29</v>
      </c>
      <c r="C125" t="s">
        <v>20</v>
      </c>
      <c r="D125" t="s">
        <v>31</v>
      </c>
      <c r="E125" t="s">
        <v>47</v>
      </c>
      <c r="F125" t="s">
        <v>33</v>
      </c>
      <c r="G125" s="3">
        <v>45295</v>
      </c>
      <c r="H125">
        <v>70</v>
      </c>
      <c r="I125">
        <v>9</v>
      </c>
      <c r="J125" t="str">
        <f>IF(supply_chain_data[[#This Row],[Units Sold]]&gt;supply_chain_data[[#This Row],[Opening Stock]],"Yes","No")</f>
        <v>No</v>
      </c>
      <c r="K125">
        <v>32</v>
      </c>
      <c r="L125">
        <f>supply_chain_data[[#This Row],[Opening Stock]]+supply_chain_data[[#This Row],[Units Received]]-supply_chain_data[[#This Row],[Units Sold]]</f>
        <v>93</v>
      </c>
      <c r="M125">
        <v>93</v>
      </c>
      <c r="N125">
        <v>81</v>
      </c>
      <c r="O125" s="2">
        <v>1110</v>
      </c>
      <c r="P125">
        <v>15</v>
      </c>
      <c r="Q125">
        <v>0</v>
      </c>
      <c r="R12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25" t="s">
        <v>24</v>
      </c>
      <c r="T125">
        <v>27</v>
      </c>
      <c r="U125" s="5">
        <f>MAX(0,MIN(1,1-ABS(supply_chain_data[[#This Row],[Forecast Demand]]-supply_chain_data[[#This Row],[Units Sold]])/supply_chain_data[[#This Row],[Forecast Demand]]))</f>
        <v>0.33333333333333337</v>
      </c>
      <c r="V125" s="4">
        <f>supply_chain_data[[#This Row],[Closing Stock]]/supply_chain_data[[#This Row],[Forecast Demand]]</f>
        <v>3.4444444444444446</v>
      </c>
      <c r="W125">
        <v>103230</v>
      </c>
    </row>
    <row r="126" spans="1:23" x14ac:dyDescent="0.35">
      <c r="A126" t="s">
        <v>34</v>
      </c>
      <c r="B126" t="s">
        <v>35</v>
      </c>
      <c r="C126" t="s">
        <v>20</v>
      </c>
      <c r="D126" t="s">
        <v>31</v>
      </c>
      <c r="E126" t="s">
        <v>47</v>
      </c>
      <c r="F126" t="s">
        <v>30</v>
      </c>
      <c r="G126" s="3">
        <v>45296</v>
      </c>
      <c r="H126">
        <v>291</v>
      </c>
      <c r="I126">
        <v>21</v>
      </c>
      <c r="J126" t="str">
        <f>IF(supply_chain_data[[#This Row],[Units Sold]]&gt;supply_chain_data[[#This Row],[Opening Stock]],"Yes","No")</f>
        <v>No</v>
      </c>
      <c r="K126">
        <v>70</v>
      </c>
      <c r="L126">
        <f>supply_chain_data[[#This Row],[Opening Stock]]+supply_chain_data[[#This Row],[Units Received]]-supply_chain_data[[#This Row],[Units Sold]]</f>
        <v>340</v>
      </c>
      <c r="M126">
        <v>340</v>
      </c>
      <c r="N126">
        <v>63</v>
      </c>
      <c r="O126" s="2">
        <v>282</v>
      </c>
      <c r="P126">
        <v>14</v>
      </c>
      <c r="Q126">
        <v>8</v>
      </c>
      <c r="R12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26" t="s">
        <v>24</v>
      </c>
      <c r="T126">
        <v>23</v>
      </c>
      <c r="U126" s="5">
        <f>MAX(0,MIN(1,1-ABS(supply_chain_data[[#This Row],[Forecast Demand]]-supply_chain_data[[#This Row],[Units Sold]])/supply_chain_data[[#This Row],[Forecast Demand]]))</f>
        <v>0.91304347826086962</v>
      </c>
      <c r="V126" s="4">
        <f>supply_chain_data[[#This Row],[Closing Stock]]/supply_chain_data[[#This Row],[Forecast Demand]]</f>
        <v>14.782608695652174</v>
      </c>
      <c r="W126">
        <v>95880</v>
      </c>
    </row>
    <row r="127" spans="1:23" hidden="1" x14ac:dyDescent="0.35">
      <c r="A127" t="s">
        <v>34</v>
      </c>
      <c r="B127" t="s">
        <v>35</v>
      </c>
      <c r="C127" t="s">
        <v>20</v>
      </c>
      <c r="D127" t="s">
        <v>39</v>
      </c>
      <c r="E127" t="s">
        <v>40</v>
      </c>
      <c r="F127" t="s">
        <v>30</v>
      </c>
      <c r="G127" s="3">
        <v>45297</v>
      </c>
      <c r="H127">
        <v>191</v>
      </c>
      <c r="I127">
        <v>26</v>
      </c>
      <c r="J127" t="str">
        <f>IF(supply_chain_data[[#This Row],[Units Sold]]&gt;supply_chain_data[[#This Row],[Opening Stock]],"Yes","No")</f>
        <v>No</v>
      </c>
      <c r="K127">
        <v>62</v>
      </c>
      <c r="L127">
        <f>supply_chain_data[[#This Row],[Opening Stock]]+supply_chain_data[[#This Row],[Units Received]]-supply_chain_data[[#This Row],[Units Sold]]</f>
        <v>227</v>
      </c>
      <c r="M127">
        <v>227</v>
      </c>
      <c r="N127">
        <v>50</v>
      </c>
      <c r="O127" s="2">
        <v>423</v>
      </c>
      <c r="P127">
        <v>10</v>
      </c>
      <c r="Q127">
        <v>7</v>
      </c>
      <c r="R12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27" t="s">
        <v>24</v>
      </c>
      <c r="T127">
        <v>63</v>
      </c>
      <c r="U127" s="5">
        <f>MAX(0,MIN(1,1-ABS(supply_chain_data[[#This Row],[Forecast Demand]]-supply_chain_data[[#This Row],[Units Sold]])/supply_chain_data[[#This Row],[Forecast Demand]]))</f>
        <v>0.41269841269841268</v>
      </c>
      <c r="V127" s="4">
        <f>supply_chain_data[[#This Row],[Closing Stock]]/supply_chain_data[[#This Row],[Forecast Demand]]</f>
        <v>3.6031746031746033</v>
      </c>
      <c r="W127">
        <v>96021</v>
      </c>
    </row>
    <row r="128" spans="1:23" x14ac:dyDescent="0.35">
      <c r="A128" t="s">
        <v>18</v>
      </c>
      <c r="B128" t="s">
        <v>19</v>
      </c>
      <c r="C128" t="s">
        <v>20</v>
      </c>
      <c r="D128" t="s">
        <v>37</v>
      </c>
      <c r="E128" t="s">
        <v>46</v>
      </c>
      <c r="F128" t="s">
        <v>23</v>
      </c>
      <c r="G128" s="3">
        <v>45298</v>
      </c>
      <c r="H128">
        <v>161</v>
      </c>
      <c r="I128">
        <v>15</v>
      </c>
      <c r="J128" t="str">
        <f>IF(supply_chain_data[[#This Row],[Units Sold]]&gt;supply_chain_data[[#This Row],[Opening Stock]],"Yes","No")</f>
        <v>No</v>
      </c>
      <c r="K128">
        <v>43</v>
      </c>
      <c r="L128">
        <f>supply_chain_data[[#This Row],[Opening Stock]]+supply_chain_data[[#This Row],[Units Received]]-supply_chain_data[[#This Row],[Units Sold]]</f>
        <v>189</v>
      </c>
      <c r="M128">
        <v>189</v>
      </c>
      <c r="N128">
        <v>71</v>
      </c>
      <c r="O128" s="2">
        <v>815</v>
      </c>
      <c r="P128">
        <v>8</v>
      </c>
      <c r="Q128">
        <v>8</v>
      </c>
      <c r="R12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28" t="s">
        <v>24</v>
      </c>
      <c r="T128">
        <v>22</v>
      </c>
      <c r="U128" s="5">
        <f>MAX(0,MIN(1,1-ABS(supply_chain_data[[#This Row],[Forecast Demand]]-supply_chain_data[[#This Row],[Units Sold]])/supply_chain_data[[#This Row],[Forecast Demand]]))</f>
        <v>0.68181818181818188</v>
      </c>
      <c r="V128" s="4">
        <f>supply_chain_data[[#This Row],[Closing Stock]]/supply_chain_data[[#This Row],[Forecast Demand]]</f>
        <v>8.5909090909090917</v>
      </c>
      <c r="W128">
        <v>154035</v>
      </c>
    </row>
    <row r="129" spans="1:23" x14ac:dyDescent="0.35">
      <c r="A129" t="s">
        <v>18</v>
      </c>
      <c r="B129" t="s">
        <v>19</v>
      </c>
      <c r="C129" t="s">
        <v>20</v>
      </c>
      <c r="D129" t="s">
        <v>39</v>
      </c>
      <c r="E129" t="s">
        <v>45</v>
      </c>
      <c r="F129" t="s">
        <v>23</v>
      </c>
      <c r="G129" s="3">
        <v>45299</v>
      </c>
      <c r="H129">
        <v>175</v>
      </c>
      <c r="I129">
        <v>50</v>
      </c>
      <c r="J129" t="str">
        <f>IF(supply_chain_data[[#This Row],[Units Sold]]&gt;supply_chain_data[[#This Row],[Opening Stock]],"Yes","No")</f>
        <v>No</v>
      </c>
      <c r="K129">
        <v>41</v>
      </c>
      <c r="L129">
        <f>supply_chain_data[[#This Row],[Opening Stock]]+supply_chain_data[[#This Row],[Units Received]]-supply_chain_data[[#This Row],[Units Sold]]</f>
        <v>166</v>
      </c>
      <c r="M129">
        <v>166</v>
      </c>
      <c r="N129">
        <v>60</v>
      </c>
      <c r="O129" s="2">
        <v>1440</v>
      </c>
      <c r="P129">
        <v>2</v>
      </c>
      <c r="Q129">
        <v>10</v>
      </c>
      <c r="R12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29" t="s">
        <v>24</v>
      </c>
      <c r="T129">
        <v>25</v>
      </c>
      <c r="U129" s="5">
        <f>MAX(0,MIN(1,1-ABS(supply_chain_data[[#This Row],[Forecast Demand]]-supply_chain_data[[#This Row],[Units Sold]])/supply_chain_data[[#This Row],[Forecast Demand]]))</f>
        <v>0</v>
      </c>
      <c r="V129" s="4">
        <f>supply_chain_data[[#This Row],[Closing Stock]]/supply_chain_data[[#This Row],[Forecast Demand]]</f>
        <v>6.64</v>
      </c>
      <c r="W129">
        <v>239040</v>
      </c>
    </row>
    <row r="130" spans="1:23" hidden="1" x14ac:dyDescent="0.35">
      <c r="A130" t="s">
        <v>25</v>
      </c>
      <c r="B130" t="s">
        <v>26</v>
      </c>
      <c r="C130" t="s">
        <v>20</v>
      </c>
      <c r="D130" t="s">
        <v>31</v>
      </c>
      <c r="E130" t="s">
        <v>47</v>
      </c>
      <c r="F130" t="s">
        <v>33</v>
      </c>
      <c r="G130" s="3">
        <v>45300</v>
      </c>
      <c r="H130">
        <v>76</v>
      </c>
      <c r="I130">
        <v>31</v>
      </c>
      <c r="J130" t="str">
        <f>IF(supply_chain_data[[#This Row],[Units Sold]]&gt;supply_chain_data[[#This Row],[Opening Stock]],"Yes","No")</f>
        <v>No</v>
      </c>
      <c r="K130">
        <v>16</v>
      </c>
      <c r="L130">
        <f>supply_chain_data[[#This Row],[Opening Stock]]+supply_chain_data[[#This Row],[Units Received]]-supply_chain_data[[#This Row],[Units Sold]]</f>
        <v>61</v>
      </c>
      <c r="M130">
        <v>61</v>
      </c>
      <c r="N130">
        <v>91</v>
      </c>
      <c r="O130" s="2">
        <v>504</v>
      </c>
      <c r="P130">
        <v>6</v>
      </c>
      <c r="Q130">
        <v>0</v>
      </c>
      <c r="R13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130" t="s">
        <v>36</v>
      </c>
      <c r="T130">
        <v>66</v>
      </c>
      <c r="U130" s="5">
        <f>MAX(0,MIN(1,1-ABS(supply_chain_data[[#This Row],[Forecast Demand]]-supply_chain_data[[#This Row],[Units Sold]])/supply_chain_data[[#This Row],[Forecast Demand]]))</f>
        <v>0.46969696969696972</v>
      </c>
      <c r="V130" s="4">
        <f>supply_chain_data[[#This Row],[Closing Stock]]/supply_chain_data[[#This Row],[Forecast Demand]]</f>
        <v>0.9242424242424242</v>
      </c>
      <c r="W130">
        <v>30744</v>
      </c>
    </row>
    <row r="131" spans="1:23" hidden="1" x14ac:dyDescent="0.35">
      <c r="A131" t="s">
        <v>28</v>
      </c>
      <c r="B131" t="s">
        <v>29</v>
      </c>
      <c r="C131" t="s">
        <v>20</v>
      </c>
      <c r="D131" t="s">
        <v>21</v>
      </c>
      <c r="E131" t="s">
        <v>27</v>
      </c>
      <c r="F131" t="s">
        <v>23</v>
      </c>
      <c r="G131" s="3">
        <v>45301</v>
      </c>
      <c r="H131">
        <v>111</v>
      </c>
      <c r="I131">
        <v>40</v>
      </c>
      <c r="J131" t="str">
        <f>IF(supply_chain_data[[#This Row],[Units Sold]]&gt;supply_chain_data[[#This Row],[Opening Stock]],"Yes","No")</f>
        <v>No</v>
      </c>
      <c r="K131">
        <v>49</v>
      </c>
      <c r="L131">
        <f>supply_chain_data[[#This Row],[Opening Stock]]+supply_chain_data[[#This Row],[Units Received]]-supply_chain_data[[#This Row],[Units Sold]]</f>
        <v>120</v>
      </c>
      <c r="M131">
        <v>120</v>
      </c>
      <c r="N131">
        <v>94</v>
      </c>
      <c r="O131" s="2">
        <v>1424</v>
      </c>
      <c r="P131">
        <v>10</v>
      </c>
      <c r="Q131">
        <v>8</v>
      </c>
      <c r="R13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31" t="s">
        <v>24</v>
      </c>
      <c r="T131">
        <v>51</v>
      </c>
      <c r="U131" s="5">
        <f>MAX(0,MIN(1,1-ABS(supply_chain_data[[#This Row],[Forecast Demand]]-supply_chain_data[[#This Row],[Units Sold]])/supply_chain_data[[#This Row],[Forecast Demand]]))</f>
        <v>0.78431372549019607</v>
      </c>
      <c r="V131" s="4">
        <f>supply_chain_data[[#This Row],[Closing Stock]]/supply_chain_data[[#This Row],[Forecast Demand]]</f>
        <v>2.3529411764705883</v>
      </c>
      <c r="W131">
        <v>170880</v>
      </c>
    </row>
    <row r="132" spans="1:23" x14ac:dyDescent="0.35">
      <c r="A132" t="s">
        <v>28</v>
      </c>
      <c r="B132" t="s">
        <v>29</v>
      </c>
      <c r="C132" t="s">
        <v>20</v>
      </c>
      <c r="D132" t="s">
        <v>21</v>
      </c>
      <c r="E132" t="s">
        <v>22</v>
      </c>
      <c r="F132" t="s">
        <v>23</v>
      </c>
      <c r="G132" s="3">
        <v>45302</v>
      </c>
      <c r="H132">
        <v>232</v>
      </c>
      <c r="I132">
        <v>51</v>
      </c>
      <c r="J132" t="str">
        <f>IF(supply_chain_data[[#This Row],[Units Sold]]&gt;supply_chain_data[[#This Row],[Opening Stock]],"Yes","No")</f>
        <v>No</v>
      </c>
      <c r="K132">
        <v>54</v>
      </c>
      <c r="L132">
        <f>supply_chain_data[[#This Row],[Opening Stock]]+supply_chain_data[[#This Row],[Units Received]]-supply_chain_data[[#This Row],[Units Sold]]</f>
        <v>235</v>
      </c>
      <c r="M132">
        <v>235</v>
      </c>
      <c r="N132">
        <v>61</v>
      </c>
      <c r="O132" s="2">
        <v>1167</v>
      </c>
      <c r="P132">
        <v>13</v>
      </c>
      <c r="Q132">
        <v>6</v>
      </c>
      <c r="R13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32" t="s">
        <v>24</v>
      </c>
      <c r="T132">
        <v>32</v>
      </c>
      <c r="U132" s="5">
        <f>MAX(0,MIN(1,1-ABS(supply_chain_data[[#This Row],[Forecast Demand]]-supply_chain_data[[#This Row],[Units Sold]])/supply_chain_data[[#This Row],[Forecast Demand]]))</f>
        <v>0.40625</v>
      </c>
      <c r="V132" s="4">
        <f>supply_chain_data[[#This Row],[Closing Stock]]/supply_chain_data[[#This Row],[Forecast Demand]]</f>
        <v>7.34375</v>
      </c>
      <c r="W132">
        <v>274245</v>
      </c>
    </row>
    <row r="133" spans="1:23" x14ac:dyDescent="0.35">
      <c r="A133" t="s">
        <v>41</v>
      </c>
      <c r="B133" t="s">
        <v>42</v>
      </c>
      <c r="C133" t="s">
        <v>20</v>
      </c>
      <c r="D133" t="s">
        <v>31</v>
      </c>
      <c r="E133" t="s">
        <v>47</v>
      </c>
      <c r="F133" t="s">
        <v>23</v>
      </c>
      <c r="G133" s="3">
        <v>45303</v>
      </c>
      <c r="H133">
        <v>271</v>
      </c>
      <c r="I133">
        <v>60</v>
      </c>
      <c r="J133" t="str">
        <f>IF(supply_chain_data[[#This Row],[Units Sold]]&gt;supply_chain_data[[#This Row],[Opening Stock]],"Yes","No")</f>
        <v>No</v>
      </c>
      <c r="K133">
        <v>15</v>
      </c>
      <c r="L133">
        <f>supply_chain_data[[#This Row],[Opening Stock]]+supply_chain_data[[#This Row],[Units Received]]-supply_chain_data[[#This Row],[Units Sold]]</f>
        <v>226</v>
      </c>
      <c r="M133">
        <v>226</v>
      </c>
      <c r="N133">
        <v>54</v>
      </c>
      <c r="O133" s="2">
        <v>991</v>
      </c>
      <c r="P133">
        <v>12</v>
      </c>
      <c r="Q133">
        <v>7</v>
      </c>
      <c r="R13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33" t="s">
        <v>24</v>
      </c>
      <c r="T133">
        <v>42</v>
      </c>
      <c r="U133" s="5">
        <f>MAX(0,MIN(1,1-ABS(supply_chain_data[[#This Row],[Forecast Demand]]-supply_chain_data[[#This Row],[Units Sold]])/supply_chain_data[[#This Row],[Forecast Demand]]))</f>
        <v>0.5714285714285714</v>
      </c>
      <c r="V133" s="4">
        <f>supply_chain_data[[#This Row],[Closing Stock]]/supply_chain_data[[#This Row],[Forecast Demand]]</f>
        <v>5.3809523809523814</v>
      </c>
      <c r="W133">
        <v>223966</v>
      </c>
    </row>
    <row r="134" spans="1:23" x14ac:dyDescent="0.35">
      <c r="A134" t="s">
        <v>41</v>
      </c>
      <c r="B134" t="s">
        <v>42</v>
      </c>
      <c r="C134" t="s">
        <v>20</v>
      </c>
      <c r="D134" t="s">
        <v>39</v>
      </c>
      <c r="E134" t="s">
        <v>45</v>
      </c>
      <c r="F134" t="s">
        <v>33</v>
      </c>
      <c r="G134" s="3">
        <v>45304</v>
      </c>
      <c r="H134">
        <v>158</v>
      </c>
      <c r="I134">
        <v>22</v>
      </c>
      <c r="J134" t="str">
        <f>IF(supply_chain_data[[#This Row],[Units Sold]]&gt;supply_chain_data[[#This Row],[Opening Stock]],"Yes","No")</f>
        <v>No</v>
      </c>
      <c r="K134">
        <v>6</v>
      </c>
      <c r="L134">
        <f>supply_chain_data[[#This Row],[Opening Stock]]+supply_chain_data[[#This Row],[Units Received]]-supply_chain_data[[#This Row],[Units Sold]]</f>
        <v>142</v>
      </c>
      <c r="M134">
        <v>142</v>
      </c>
      <c r="N134">
        <v>56</v>
      </c>
      <c r="O134" s="2">
        <v>1076</v>
      </c>
      <c r="P134">
        <v>4</v>
      </c>
      <c r="Q134">
        <v>9</v>
      </c>
      <c r="R13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34" t="s">
        <v>24</v>
      </c>
      <c r="T134">
        <v>12</v>
      </c>
      <c r="U134" s="5">
        <f>MAX(0,MIN(1,1-ABS(supply_chain_data[[#This Row],[Forecast Demand]]-supply_chain_data[[#This Row],[Units Sold]])/supply_chain_data[[#This Row],[Forecast Demand]]))</f>
        <v>0.16666666666666663</v>
      </c>
      <c r="V134" s="4">
        <f>supply_chain_data[[#This Row],[Closing Stock]]/supply_chain_data[[#This Row],[Forecast Demand]]</f>
        <v>11.833333333333334</v>
      </c>
      <c r="W134">
        <v>152792</v>
      </c>
    </row>
    <row r="135" spans="1:23" x14ac:dyDescent="0.35">
      <c r="A135" t="s">
        <v>25</v>
      </c>
      <c r="B135" t="s">
        <v>26</v>
      </c>
      <c r="C135" t="s">
        <v>20</v>
      </c>
      <c r="D135" t="s">
        <v>21</v>
      </c>
      <c r="E135" t="s">
        <v>27</v>
      </c>
      <c r="F135" t="s">
        <v>30</v>
      </c>
      <c r="G135" s="3">
        <v>45305</v>
      </c>
      <c r="H135">
        <v>293</v>
      </c>
      <c r="I135">
        <v>53</v>
      </c>
      <c r="J135" t="str">
        <f>IF(supply_chain_data[[#This Row],[Units Sold]]&gt;supply_chain_data[[#This Row],[Opening Stock]],"Yes","No")</f>
        <v>No</v>
      </c>
      <c r="K135">
        <v>49</v>
      </c>
      <c r="L135">
        <f>supply_chain_data[[#This Row],[Opening Stock]]+supply_chain_data[[#This Row],[Units Received]]-supply_chain_data[[#This Row],[Units Sold]]</f>
        <v>289</v>
      </c>
      <c r="M135">
        <v>289</v>
      </c>
      <c r="N135">
        <v>99</v>
      </c>
      <c r="O135" s="2">
        <v>920</v>
      </c>
      <c r="P135">
        <v>8</v>
      </c>
      <c r="Q135">
        <v>3</v>
      </c>
      <c r="R13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35" t="s">
        <v>24</v>
      </c>
      <c r="T135">
        <v>53</v>
      </c>
      <c r="U135" s="5">
        <f>MAX(0,MIN(1,1-ABS(supply_chain_data[[#This Row],[Forecast Demand]]-supply_chain_data[[#This Row],[Units Sold]])/supply_chain_data[[#This Row],[Forecast Demand]]))</f>
        <v>1</v>
      </c>
      <c r="V135" s="4">
        <f>supply_chain_data[[#This Row],[Closing Stock]]/supply_chain_data[[#This Row],[Forecast Demand]]</f>
        <v>5.4528301886792452</v>
      </c>
      <c r="W135">
        <v>265880</v>
      </c>
    </row>
    <row r="136" spans="1:23" hidden="1" x14ac:dyDescent="0.35">
      <c r="A136" t="s">
        <v>41</v>
      </c>
      <c r="B136" t="s">
        <v>42</v>
      </c>
      <c r="C136" t="s">
        <v>20</v>
      </c>
      <c r="D136" t="s">
        <v>31</v>
      </c>
      <c r="E136" t="s">
        <v>47</v>
      </c>
      <c r="F136" t="s">
        <v>23</v>
      </c>
      <c r="G136" s="3">
        <v>45306</v>
      </c>
      <c r="H136">
        <v>78</v>
      </c>
      <c r="I136">
        <v>28</v>
      </c>
      <c r="J136" t="str">
        <f>IF(supply_chain_data[[#This Row],[Units Sold]]&gt;supply_chain_data[[#This Row],[Opening Stock]],"Yes","No")</f>
        <v>No</v>
      </c>
      <c r="K136">
        <v>21</v>
      </c>
      <c r="L136">
        <f>supply_chain_data[[#This Row],[Opening Stock]]+supply_chain_data[[#This Row],[Units Received]]-supply_chain_data[[#This Row],[Units Sold]]</f>
        <v>71</v>
      </c>
      <c r="M136">
        <v>71</v>
      </c>
      <c r="N136">
        <v>86</v>
      </c>
      <c r="O136" s="2">
        <v>892</v>
      </c>
      <c r="P136">
        <v>8</v>
      </c>
      <c r="Q136">
        <v>10</v>
      </c>
      <c r="R13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136" t="s">
        <v>36</v>
      </c>
      <c r="T136">
        <v>12</v>
      </c>
      <c r="U136" s="5">
        <f>MAX(0,MIN(1,1-ABS(supply_chain_data[[#This Row],[Forecast Demand]]-supply_chain_data[[#This Row],[Units Sold]])/supply_chain_data[[#This Row],[Forecast Demand]]))</f>
        <v>0</v>
      </c>
      <c r="V136" s="4">
        <f>supply_chain_data[[#This Row],[Closing Stock]]/supply_chain_data[[#This Row],[Forecast Demand]]</f>
        <v>5.916666666666667</v>
      </c>
      <c r="W136">
        <v>63332</v>
      </c>
    </row>
    <row r="137" spans="1:23" x14ac:dyDescent="0.35">
      <c r="A137" t="s">
        <v>18</v>
      </c>
      <c r="B137" t="s">
        <v>19</v>
      </c>
      <c r="C137" t="s">
        <v>20</v>
      </c>
      <c r="D137" t="s">
        <v>39</v>
      </c>
      <c r="E137" t="s">
        <v>40</v>
      </c>
      <c r="F137" t="s">
        <v>30</v>
      </c>
      <c r="G137" s="3">
        <v>45307</v>
      </c>
      <c r="H137">
        <v>211</v>
      </c>
      <c r="I137">
        <v>26</v>
      </c>
      <c r="J137" t="str">
        <f>IF(supply_chain_data[[#This Row],[Units Sold]]&gt;supply_chain_data[[#This Row],[Opening Stock]],"Yes","No")</f>
        <v>No</v>
      </c>
      <c r="K137">
        <v>76</v>
      </c>
      <c r="L137">
        <f>supply_chain_data[[#This Row],[Opening Stock]]+supply_chain_data[[#This Row],[Units Received]]-supply_chain_data[[#This Row],[Units Sold]]</f>
        <v>261</v>
      </c>
      <c r="M137">
        <v>261</v>
      </c>
      <c r="N137">
        <v>86</v>
      </c>
      <c r="O137" s="2">
        <v>1134</v>
      </c>
      <c r="P137">
        <v>13</v>
      </c>
      <c r="Q137">
        <v>5</v>
      </c>
      <c r="R13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37" t="s">
        <v>24</v>
      </c>
      <c r="T137">
        <v>29</v>
      </c>
      <c r="U137" s="5">
        <f>MAX(0,MIN(1,1-ABS(supply_chain_data[[#This Row],[Forecast Demand]]-supply_chain_data[[#This Row],[Units Sold]])/supply_chain_data[[#This Row],[Forecast Demand]]))</f>
        <v>0.89655172413793105</v>
      </c>
      <c r="V137" s="4">
        <f>supply_chain_data[[#This Row],[Closing Stock]]/supply_chain_data[[#This Row],[Forecast Demand]]</f>
        <v>9</v>
      </c>
      <c r="W137">
        <v>295974</v>
      </c>
    </row>
    <row r="138" spans="1:23" x14ac:dyDescent="0.35">
      <c r="A138" t="s">
        <v>41</v>
      </c>
      <c r="B138" t="s">
        <v>42</v>
      </c>
      <c r="C138" t="s">
        <v>20</v>
      </c>
      <c r="D138" t="s">
        <v>21</v>
      </c>
      <c r="E138" t="s">
        <v>22</v>
      </c>
      <c r="F138" t="s">
        <v>33</v>
      </c>
      <c r="G138" s="3">
        <v>45308</v>
      </c>
      <c r="H138">
        <v>236</v>
      </c>
      <c r="I138">
        <v>6</v>
      </c>
      <c r="J138" t="str">
        <f>IF(supply_chain_data[[#This Row],[Units Sold]]&gt;supply_chain_data[[#This Row],[Opening Stock]],"Yes","No")</f>
        <v>No</v>
      </c>
      <c r="K138">
        <v>53</v>
      </c>
      <c r="L138">
        <f>supply_chain_data[[#This Row],[Opening Stock]]+supply_chain_data[[#This Row],[Units Received]]-supply_chain_data[[#This Row],[Units Sold]]</f>
        <v>283</v>
      </c>
      <c r="M138">
        <v>283</v>
      </c>
      <c r="N138">
        <v>47</v>
      </c>
      <c r="O138" s="2">
        <v>518</v>
      </c>
      <c r="P138">
        <v>14</v>
      </c>
      <c r="Q138">
        <v>9</v>
      </c>
      <c r="R13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38" t="s">
        <v>24</v>
      </c>
      <c r="T138">
        <v>63</v>
      </c>
      <c r="U138" s="5">
        <f>MAX(0,MIN(1,1-ABS(supply_chain_data[[#This Row],[Forecast Demand]]-supply_chain_data[[#This Row],[Units Sold]])/supply_chain_data[[#This Row],[Forecast Demand]]))</f>
        <v>9.5238095238095233E-2</v>
      </c>
      <c r="V138" s="4">
        <f>supply_chain_data[[#This Row],[Closing Stock]]/supply_chain_data[[#This Row],[Forecast Demand]]</f>
        <v>4.4920634920634921</v>
      </c>
      <c r="W138">
        <v>146594</v>
      </c>
    </row>
    <row r="139" spans="1:23" hidden="1" x14ac:dyDescent="0.35">
      <c r="A139" t="s">
        <v>34</v>
      </c>
      <c r="B139" t="s">
        <v>35</v>
      </c>
      <c r="C139" t="s">
        <v>20</v>
      </c>
      <c r="D139" t="s">
        <v>43</v>
      </c>
      <c r="E139" t="s">
        <v>44</v>
      </c>
      <c r="F139" t="s">
        <v>33</v>
      </c>
      <c r="G139" s="3">
        <v>45309</v>
      </c>
      <c r="H139">
        <v>83</v>
      </c>
      <c r="I139">
        <v>38</v>
      </c>
      <c r="J139" t="str">
        <f>IF(supply_chain_data[[#This Row],[Units Sold]]&gt;supply_chain_data[[#This Row],[Opening Stock]],"Yes","No")</f>
        <v>No</v>
      </c>
      <c r="K139">
        <v>70</v>
      </c>
      <c r="L139">
        <f>supply_chain_data[[#This Row],[Opening Stock]]+supply_chain_data[[#This Row],[Units Received]]-supply_chain_data[[#This Row],[Units Sold]]</f>
        <v>115</v>
      </c>
      <c r="M139">
        <v>115</v>
      </c>
      <c r="N139">
        <v>64</v>
      </c>
      <c r="O139" s="2">
        <v>983</v>
      </c>
      <c r="P139">
        <v>14</v>
      </c>
      <c r="Q139">
        <v>10</v>
      </c>
      <c r="R13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39" t="s">
        <v>24</v>
      </c>
      <c r="T139">
        <v>57</v>
      </c>
      <c r="U139" s="5">
        <f>MAX(0,MIN(1,1-ABS(supply_chain_data[[#This Row],[Forecast Demand]]-supply_chain_data[[#This Row],[Units Sold]])/supply_chain_data[[#This Row],[Forecast Demand]]))</f>
        <v>0.66666666666666674</v>
      </c>
      <c r="V139" s="4">
        <f>supply_chain_data[[#This Row],[Closing Stock]]/supply_chain_data[[#This Row],[Forecast Demand]]</f>
        <v>2.0175438596491229</v>
      </c>
      <c r="W139">
        <v>113045</v>
      </c>
    </row>
    <row r="140" spans="1:23" x14ac:dyDescent="0.35">
      <c r="A140" t="s">
        <v>25</v>
      </c>
      <c r="B140" t="s">
        <v>26</v>
      </c>
      <c r="C140" t="s">
        <v>20</v>
      </c>
      <c r="D140" t="s">
        <v>31</v>
      </c>
      <c r="E140" t="s">
        <v>47</v>
      </c>
      <c r="F140" t="s">
        <v>33</v>
      </c>
      <c r="G140" s="3">
        <v>45310</v>
      </c>
      <c r="H140">
        <v>216</v>
      </c>
      <c r="I140">
        <v>11</v>
      </c>
      <c r="J140" t="str">
        <f>IF(supply_chain_data[[#This Row],[Units Sold]]&gt;supply_chain_data[[#This Row],[Opening Stock]],"Yes","No")</f>
        <v>No</v>
      </c>
      <c r="K140">
        <v>45</v>
      </c>
      <c r="L140">
        <f>supply_chain_data[[#This Row],[Opening Stock]]+supply_chain_data[[#This Row],[Units Received]]-supply_chain_data[[#This Row],[Units Sold]]</f>
        <v>250</v>
      </c>
      <c r="M140">
        <v>250</v>
      </c>
      <c r="N140">
        <v>83</v>
      </c>
      <c r="O140" s="2">
        <v>1022</v>
      </c>
      <c r="P140">
        <v>3</v>
      </c>
      <c r="Q140">
        <v>0</v>
      </c>
      <c r="R14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40" t="s">
        <v>24</v>
      </c>
      <c r="T140">
        <v>32</v>
      </c>
      <c r="U140" s="5">
        <f>MAX(0,MIN(1,1-ABS(supply_chain_data[[#This Row],[Forecast Demand]]-supply_chain_data[[#This Row],[Units Sold]])/supply_chain_data[[#This Row],[Forecast Demand]]))</f>
        <v>0.34375</v>
      </c>
      <c r="V140" s="4">
        <f>supply_chain_data[[#This Row],[Closing Stock]]/supply_chain_data[[#This Row],[Forecast Demand]]</f>
        <v>7.8125</v>
      </c>
      <c r="W140">
        <v>255500</v>
      </c>
    </row>
    <row r="141" spans="1:23" hidden="1" x14ac:dyDescent="0.35">
      <c r="A141" t="s">
        <v>41</v>
      </c>
      <c r="B141" t="s">
        <v>42</v>
      </c>
      <c r="C141" t="s">
        <v>20</v>
      </c>
      <c r="D141" t="s">
        <v>39</v>
      </c>
      <c r="E141" t="s">
        <v>45</v>
      </c>
      <c r="F141" t="s">
        <v>23</v>
      </c>
      <c r="G141" s="3">
        <v>45311</v>
      </c>
      <c r="H141">
        <v>100</v>
      </c>
      <c r="I141">
        <v>51</v>
      </c>
      <c r="J141" t="str">
        <f>IF(supply_chain_data[[#This Row],[Units Sold]]&gt;supply_chain_data[[#This Row],[Opening Stock]],"Yes","No")</f>
        <v>No</v>
      </c>
      <c r="K141">
        <v>59</v>
      </c>
      <c r="L141">
        <f>supply_chain_data[[#This Row],[Opening Stock]]+supply_chain_data[[#This Row],[Units Received]]-supply_chain_data[[#This Row],[Units Sold]]</f>
        <v>108</v>
      </c>
      <c r="M141">
        <v>108</v>
      </c>
      <c r="N141">
        <v>95</v>
      </c>
      <c r="O141" s="2">
        <v>100</v>
      </c>
      <c r="P141">
        <v>14</v>
      </c>
      <c r="Q141">
        <v>6</v>
      </c>
      <c r="R14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41" t="s">
        <v>24</v>
      </c>
      <c r="T141">
        <v>32</v>
      </c>
      <c r="U141" s="5">
        <f>MAX(0,MIN(1,1-ABS(supply_chain_data[[#This Row],[Forecast Demand]]-supply_chain_data[[#This Row],[Units Sold]])/supply_chain_data[[#This Row],[Forecast Demand]]))</f>
        <v>0.40625</v>
      </c>
      <c r="V141" s="4">
        <f>supply_chain_data[[#This Row],[Closing Stock]]/supply_chain_data[[#This Row],[Forecast Demand]]</f>
        <v>3.375</v>
      </c>
      <c r="W141">
        <v>10800</v>
      </c>
    </row>
    <row r="142" spans="1:23" hidden="1" x14ac:dyDescent="0.35">
      <c r="A142" t="s">
        <v>28</v>
      </c>
      <c r="B142" t="s">
        <v>29</v>
      </c>
      <c r="C142" t="s">
        <v>20</v>
      </c>
      <c r="D142" t="s">
        <v>21</v>
      </c>
      <c r="E142" t="s">
        <v>27</v>
      </c>
      <c r="F142" t="s">
        <v>33</v>
      </c>
      <c r="G142" s="3">
        <v>45312</v>
      </c>
      <c r="H142">
        <v>193</v>
      </c>
      <c r="I142">
        <v>39</v>
      </c>
      <c r="J142" t="str">
        <f>IF(supply_chain_data[[#This Row],[Units Sold]]&gt;supply_chain_data[[#This Row],[Opening Stock]],"Yes","No")</f>
        <v>No</v>
      </c>
      <c r="K142">
        <v>59</v>
      </c>
      <c r="L142">
        <f>supply_chain_data[[#This Row],[Opening Stock]]+supply_chain_data[[#This Row],[Units Received]]-supply_chain_data[[#This Row],[Units Sold]]</f>
        <v>213</v>
      </c>
      <c r="M142">
        <v>213</v>
      </c>
      <c r="N142">
        <v>96</v>
      </c>
      <c r="O142" s="2">
        <v>1268</v>
      </c>
      <c r="P142">
        <v>11</v>
      </c>
      <c r="Q142">
        <v>2</v>
      </c>
      <c r="R14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42" t="s">
        <v>24</v>
      </c>
      <c r="T142">
        <v>68</v>
      </c>
      <c r="U142" s="5">
        <f>MAX(0,MIN(1,1-ABS(supply_chain_data[[#This Row],[Forecast Demand]]-supply_chain_data[[#This Row],[Units Sold]])/supply_chain_data[[#This Row],[Forecast Demand]]))</f>
        <v>0.57352941176470584</v>
      </c>
      <c r="V142" s="4">
        <f>supply_chain_data[[#This Row],[Closing Stock]]/supply_chain_data[[#This Row],[Forecast Demand]]</f>
        <v>3.1323529411764706</v>
      </c>
      <c r="W142">
        <v>270084</v>
      </c>
    </row>
    <row r="143" spans="1:23" hidden="1" x14ac:dyDescent="0.35">
      <c r="A143" t="s">
        <v>25</v>
      </c>
      <c r="B143" t="s">
        <v>26</v>
      </c>
      <c r="C143" t="s">
        <v>20</v>
      </c>
      <c r="D143" t="s">
        <v>31</v>
      </c>
      <c r="E143" t="s">
        <v>47</v>
      </c>
      <c r="F143" t="s">
        <v>23</v>
      </c>
      <c r="G143" s="3">
        <v>45313</v>
      </c>
      <c r="H143">
        <v>79</v>
      </c>
      <c r="I143">
        <v>44</v>
      </c>
      <c r="J143" t="str">
        <f>IF(supply_chain_data[[#This Row],[Units Sold]]&gt;supply_chain_data[[#This Row],[Opening Stock]],"Yes","No")</f>
        <v>No</v>
      </c>
      <c r="K143">
        <v>29</v>
      </c>
      <c r="L143">
        <f>supply_chain_data[[#This Row],[Opening Stock]]+supply_chain_data[[#This Row],[Units Received]]-supply_chain_data[[#This Row],[Units Sold]]</f>
        <v>64</v>
      </c>
      <c r="M143">
        <v>64</v>
      </c>
      <c r="N143">
        <v>91</v>
      </c>
      <c r="O143" s="2">
        <v>714</v>
      </c>
      <c r="P143">
        <v>14</v>
      </c>
      <c r="Q143">
        <v>10</v>
      </c>
      <c r="R14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143" t="s">
        <v>36</v>
      </c>
      <c r="T143">
        <v>36</v>
      </c>
      <c r="U143" s="5">
        <f>MAX(0,MIN(1,1-ABS(supply_chain_data[[#This Row],[Forecast Demand]]-supply_chain_data[[#This Row],[Units Sold]])/supply_chain_data[[#This Row],[Forecast Demand]]))</f>
        <v>0.77777777777777779</v>
      </c>
      <c r="V143" s="4">
        <f>supply_chain_data[[#This Row],[Closing Stock]]/supply_chain_data[[#This Row],[Forecast Demand]]</f>
        <v>1.7777777777777777</v>
      </c>
      <c r="W143">
        <v>45696</v>
      </c>
    </row>
    <row r="144" spans="1:23" x14ac:dyDescent="0.35">
      <c r="A144" t="s">
        <v>25</v>
      </c>
      <c r="B144" t="s">
        <v>26</v>
      </c>
      <c r="C144" t="s">
        <v>20</v>
      </c>
      <c r="D144" t="s">
        <v>37</v>
      </c>
      <c r="E144" t="s">
        <v>46</v>
      </c>
      <c r="F144" t="s">
        <v>23</v>
      </c>
      <c r="G144" s="3">
        <v>45314</v>
      </c>
      <c r="H144">
        <v>265</v>
      </c>
      <c r="I144">
        <v>32</v>
      </c>
      <c r="J144" t="str">
        <f>IF(supply_chain_data[[#This Row],[Units Sold]]&gt;supply_chain_data[[#This Row],[Opening Stock]],"Yes","No")</f>
        <v>No</v>
      </c>
      <c r="K144">
        <v>60</v>
      </c>
      <c r="L144">
        <f>supply_chain_data[[#This Row],[Opening Stock]]+supply_chain_data[[#This Row],[Units Received]]-supply_chain_data[[#This Row],[Units Sold]]</f>
        <v>293</v>
      </c>
      <c r="M144">
        <v>293</v>
      </c>
      <c r="N144">
        <v>41</v>
      </c>
      <c r="O144" s="2">
        <v>1087</v>
      </c>
      <c r="P144">
        <v>8</v>
      </c>
      <c r="Q144">
        <v>8</v>
      </c>
      <c r="R14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44" t="s">
        <v>24</v>
      </c>
      <c r="T144">
        <v>10</v>
      </c>
      <c r="U144" s="5">
        <f>MAX(0,MIN(1,1-ABS(supply_chain_data[[#This Row],[Forecast Demand]]-supply_chain_data[[#This Row],[Units Sold]])/supply_chain_data[[#This Row],[Forecast Demand]]))</f>
        <v>0</v>
      </c>
      <c r="V144" s="4">
        <f>supply_chain_data[[#This Row],[Closing Stock]]/supply_chain_data[[#This Row],[Forecast Demand]]</f>
        <v>29.3</v>
      </c>
      <c r="W144">
        <v>318491</v>
      </c>
    </row>
    <row r="145" spans="1:23" x14ac:dyDescent="0.35">
      <c r="A145" t="s">
        <v>25</v>
      </c>
      <c r="B145" t="s">
        <v>26</v>
      </c>
      <c r="C145" t="s">
        <v>20</v>
      </c>
      <c r="D145" t="s">
        <v>21</v>
      </c>
      <c r="E145" t="s">
        <v>22</v>
      </c>
      <c r="F145" t="s">
        <v>23</v>
      </c>
      <c r="G145" s="3">
        <v>45315</v>
      </c>
      <c r="H145">
        <v>233</v>
      </c>
      <c r="I145">
        <v>26</v>
      </c>
      <c r="J145" t="str">
        <f>IF(supply_chain_data[[#This Row],[Units Sold]]&gt;supply_chain_data[[#This Row],[Opening Stock]],"Yes","No")</f>
        <v>No</v>
      </c>
      <c r="K145">
        <v>79</v>
      </c>
      <c r="L145">
        <f>supply_chain_data[[#This Row],[Opening Stock]]+supply_chain_data[[#This Row],[Units Received]]-supply_chain_data[[#This Row],[Units Sold]]</f>
        <v>286</v>
      </c>
      <c r="M145">
        <v>286</v>
      </c>
      <c r="N145">
        <v>55</v>
      </c>
      <c r="O145" s="2">
        <v>125</v>
      </c>
      <c r="P145">
        <v>13</v>
      </c>
      <c r="Q145">
        <v>4</v>
      </c>
      <c r="R14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45" t="s">
        <v>24</v>
      </c>
      <c r="T145">
        <v>69</v>
      </c>
      <c r="U145" s="5">
        <f>MAX(0,MIN(1,1-ABS(supply_chain_data[[#This Row],[Forecast Demand]]-supply_chain_data[[#This Row],[Units Sold]])/supply_chain_data[[#This Row],[Forecast Demand]]))</f>
        <v>0.37681159420289856</v>
      </c>
      <c r="V145" s="4">
        <f>supply_chain_data[[#This Row],[Closing Stock]]/supply_chain_data[[#This Row],[Forecast Demand]]</f>
        <v>4.1449275362318838</v>
      </c>
      <c r="W145">
        <v>35750</v>
      </c>
    </row>
    <row r="146" spans="1:23" x14ac:dyDescent="0.35">
      <c r="A146" t="s">
        <v>34</v>
      </c>
      <c r="B146" t="s">
        <v>35</v>
      </c>
      <c r="C146" t="s">
        <v>20</v>
      </c>
      <c r="D146" t="s">
        <v>21</v>
      </c>
      <c r="E146" t="s">
        <v>22</v>
      </c>
      <c r="F146" t="s">
        <v>33</v>
      </c>
      <c r="G146" s="3">
        <v>45316</v>
      </c>
      <c r="H146">
        <v>150</v>
      </c>
      <c r="I146">
        <v>14</v>
      </c>
      <c r="J146" t="str">
        <f>IF(supply_chain_data[[#This Row],[Units Sold]]&gt;supply_chain_data[[#This Row],[Opening Stock]],"Yes","No")</f>
        <v>No</v>
      </c>
      <c r="K146">
        <v>74</v>
      </c>
      <c r="L146">
        <f>supply_chain_data[[#This Row],[Opening Stock]]+supply_chain_data[[#This Row],[Units Received]]-supply_chain_data[[#This Row],[Units Sold]]</f>
        <v>210</v>
      </c>
      <c r="M146">
        <v>210</v>
      </c>
      <c r="N146">
        <v>49</v>
      </c>
      <c r="O146" s="2">
        <v>229</v>
      </c>
      <c r="P146">
        <v>10</v>
      </c>
      <c r="Q146">
        <v>1</v>
      </c>
      <c r="R14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46" t="s">
        <v>24</v>
      </c>
      <c r="T146">
        <v>26</v>
      </c>
      <c r="U146" s="5">
        <f>MAX(0,MIN(1,1-ABS(supply_chain_data[[#This Row],[Forecast Demand]]-supply_chain_data[[#This Row],[Units Sold]])/supply_chain_data[[#This Row],[Forecast Demand]]))</f>
        <v>0.53846153846153844</v>
      </c>
      <c r="V146" s="4">
        <f>supply_chain_data[[#This Row],[Closing Stock]]/supply_chain_data[[#This Row],[Forecast Demand]]</f>
        <v>8.0769230769230766</v>
      </c>
      <c r="W146">
        <v>48090</v>
      </c>
    </row>
    <row r="147" spans="1:23" hidden="1" x14ac:dyDescent="0.35">
      <c r="A147" t="s">
        <v>34</v>
      </c>
      <c r="B147" t="s">
        <v>35</v>
      </c>
      <c r="C147" t="s">
        <v>20</v>
      </c>
      <c r="D147" t="s">
        <v>39</v>
      </c>
      <c r="E147" t="s">
        <v>40</v>
      </c>
      <c r="F147" t="s">
        <v>23</v>
      </c>
      <c r="G147" s="3">
        <v>45317</v>
      </c>
      <c r="H147">
        <v>69</v>
      </c>
      <c r="I147">
        <v>38</v>
      </c>
      <c r="J147" t="str">
        <f>IF(supply_chain_data[[#This Row],[Units Sold]]&gt;supply_chain_data[[#This Row],[Opening Stock]],"Yes","No")</f>
        <v>No</v>
      </c>
      <c r="K147">
        <v>7</v>
      </c>
      <c r="L147">
        <f>supply_chain_data[[#This Row],[Opening Stock]]+supply_chain_data[[#This Row],[Units Received]]-supply_chain_data[[#This Row],[Units Sold]]</f>
        <v>38</v>
      </c>
      <c r="M147">
        <v>38</v>
      </c>
      <c r="N147">
        <v>63</v>
      </c>
      <c r="O147" s="2">
        <v>843</v>
      </c>
      <c r="P147">
        <v>5</v>
      </c>
      <c r="Q147">
        <v>9</v>
      </c>
      <c r="R14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147" t="s">
        <v>36</v>
      </c>
      <c r="T147">
        <v>58</v>
      </c>
      <c r="U147" s="5">
        <f>MAX(0,MIN(1,1-ABS(supply_chain_data[[#This Row],[Forecast Demand]]-supply_chain_data[[#This Row],[Units Sold]])/supply_chain_data[[#This Row],[Forecast Demand]]))</f>
        <v>0.65517241379310343</v>
      </c>
      <c r="V147" s="4">
        <f>supply_chain_data[[#This Row],[Closing Stock]]/supply_chain_data[[#This Row],[Forecast Demand]]</f>
        <v>0.65517241379310343</v>
      </c>
      <c r="W147">
        <v>32034</v>
      </c>
    </row>
    <row r="148" spans="1:23" x14ac:dyDescent="0.35">
      <c r="A148" t="s">
        <v>41</v>
      </c>
      <c r="B148" t="s">
        <v>42</v>
      </c>
      <c r="C148" t="s">
        <v>20</v>
      </c>
      <c r="D148" t="s">
        <v>31</v>
      </c>
      <c r="E148" t="s">
        <v>32</v>
      </c>
      <c r="F148" t="s">
        <v>23</v>
      </c>
      <c r="G148" s="3">
        <v>45318</v>
      </c>
      <c r="H148">
        <v>79</v>
      </c>
      <c r="I148">
        <v>44</v>
      </c>
      <c r="J148" t="str">
        <f>IF(supply_chain_data[[#This Row],[Units Sold]]&gt;supply_chain_data[[#This Row],[Opening Stock]],"Yes","No")</f>
        <v>No</v>
      </c>
      <c r="K148">
        <v>71</v>
      </c>
      <c r="L148">
        <f>supply_chain_data[[#This Row],[Opening Stock]]+supply_chain_data[[#This Row],[Units Received]]-supply_chain_data[[#This Row],[Units Sold]]</f>
        <v>106</v>
      </c>
      <c r="M148">
        <v>106</v>
      </c>
      <c r="N148">
        <v>60</v>
      </c>
      <c r="O148" s="2">
        <v>1485</v>
      </c>
      <c r="P148">
        <v>15</v>
      </c>
      <c r="Q148">
        <v>9</v>
      </c>
      <c r="R14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48" t="s">
        <v>24</v>
      </c>
      <c r="T148">
        <v>12</v>
      </c>
      <c r="U148" s="5">
        <f>MAX(0,MIN(1,1-ABS(supply_chain_data[[#This Row],[Forecast Demand]]-supply_chain_data[[#This Row],[Units Sold]])/supply_chain_data[[#This Row],[Forecast Demand]]))</f>
        <v>0</v>
      </c>
      <c r="V148" s="4">
        <f>supply_chain_data[[#This Row],[Closing Stock]]/supply_chain_data[[#This Row],[Forecast Demand]]</f>
        <v>8.8333333333333339</v>
      </c>
      <c r="W148">
        <v>157410</v>
      </c>
    </row>
    <row r="149" spans="1:23" hidden="1" x14ac:dyDescent="0.35">
      <c r="A149" t="s">
        <v>28</v>
      </c>
      <c r="B149" t="s">
        <v>29</v>
      </c>
      <c r="C149" t="s">
        <v>20</v>
      </c>
      <c r="D149" t="s">
        <v>21</v>
      </c>
      <c r="E149" t="s">
        <v>27</v>
      </c>
      <c r="F149" t="s">
        <v>23</v>
      </c>
      <c r="G149" s="3">
        <v>45319</v>
      </c>
      <c r="H149">
        <v>131</v>
      </c>
      <c r="I149">
        <v>27</v>
      </c>
      <c r="J149" t="str">
        <f>IF(supply_chain_data[[#This Row],[Units Sold]]&gt;supply_chain_data[[#This Row],[Opening Stock]],"Yes","No")</f>
        <v>No</v>
      </c>
      <c r="K149">
        <v>31</v>
      </c>
      <c r="L149">
        <f>supply_chain_data[[#This Row],[Opening Stock]]+supply_chain_data[[#This Row],[Units Received]]-supply_chain_data[[#This Row],[Units Sold]]</f>
        <v>135</v>
      </c>
      <c r="M149">
        <v>135</v>
      </c>
      <c r="N149">
        <v>100</v>
      </c>
      <c r="O149" s="2">
        <v>722</v>
      </c>
      <c r="P149">
        <v>13</v>
      </c>
      <c r="Q149">
        <v>8</v>
      </c>
      <c r="R14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49" t="s">
        <v>24</v>
      </c>
      <c r="T149">
        <v>57</v>
      </c>
      <c r="U149" s="5">
        <f>MAX(0,MIN(1,1-ABS(supply_chain_data[[#This Row],[Forecast Demand]]-supply_chain_data[[#This Row],[Units Sold]])/supply_chain_data[[#This Row],[Forecast Demand]]))</f>
        <v>0.47368421052631582</v>
      </c>
      <c r="V149" s="4">
        <f>supply_chain_data[[#This Row],[Closing Stock]]/supply_chain_data[[#This Row],[Forecast Demand]]</f>
        <v>2.3684210526315788</v>
      </c>
      <c r="W149">
        <v>97470</v>
      </c>
    </row>
    <row r="150" spans="1:23" hidden="1" x14ac:dyDescent="0.35">
      <c r="A150" t="s">
        <v>25</v>
      </c>
      <c r="B150" t="s">
        <v>26</v>
      </c>
      <c r="C150" t="s">
        <v>20</v>
      </c>
      <c r="D150" t="s">
        <v>37</v>
      </c>
      <c r="E150" t="s">
        <v>46</v>
      </c>
      <c r="F150" t="s">
        <v>33</v>
      </c>
      <c r="G150" s="3">
        <v>45320</v>
      </c>
      <c r="H150">
        <v>113</v>
      </c>
      <c r="I150">
        <v>54</v>
      </c>
      <c r="J150" t="str">
        <f>IF(supply_chain_data[[#This Row],[Units Sold]]&gt;supply_chain_data[[#This Row],[Opening Stock]],"Yes","No")</f>
        <v>No</v>
      </c>
      <c r="K150">
        <v>33</v>
      </c>
      <c r="L150">
        <f>supply_chain_data[[#This Row],[Opening Stock]]+supply_chain_data[[#This Row],[Units Received]]-supply_chain_data[[#This Row],[Units Sold]]</f>
        <v>92</v>
      </c>
      <c r="M150">
        <v>92</v>
      </c>
      <c r="N150">
        <v>70</v>
      </c>
      <c r="O150" s="2">
        <v>301</v>
      </c>
      <c r="P150">
        <v>6</v>
      </c>
      <c r="Q150">
        <v>0</v>
      </c>
      <c r="R15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150" t="s">
        <v>24</v>
      </c>
      <c r="T150">
        <v>55</v>
      </c>
      <c r="U150" s="5">
        <f>MAX(0,MIN(1,1-ABS(supply_chain_data[[#This Row],[Forecast Demand]]-supply_chain_data[[#This Row],[Units Sold]])/supply_chain_data[[#This Row],[Forecast Demand]]))</f>
        <v>0.98181818181818181</v>
      </c>
      <c r="V150" s="4">
        <f>supply_chain_data[[#This Row],[Closing Stock]]/supply_chain_data[[#This Row],[Forecast Demand]]</f>
        <v>1.6727272727272726</v>
      </c>
      <c r="W150">
        <v>27692</v>
      </c>
    </row>
    <row r="151" spans="1:23" x14ac:dyDescent="0.35">
      <c r="A151" t="s">
        <v>41</v>
      </c>
      <c r="B151" t="s">
        <v>42</v>
      </c>
      <c r="C151" t="s">
        <v>20</v>
      </c>
      <c r="D151" t="s">
        <v>21</v>
      </c>
      <c r="E151" t="s">
        <v>22</v>
      </c>
      <c r="F151" t="s">
        <v>30</v>
      </c>
      <c r="G151" s="3">
        <v>45321</v>
      </c>
      <c r="H151">
        <v>124</v>
      </c>
      <c r="I151">
        <v>26</v>
      </c>
      <c r="J151" t="str">
        <f>IF(supply_chain_data[[#This Row],[Units Sold]]&gt;supply_chain_data[[#This Row],[Opening Stock]],"Yes","No")</f>
        <v>No</v>
      </c>
      <c r="K151">
        <v>50</v>
      </c>
      <c r="L151">
        <f>supply_chain_data[[#This Row],[Opening Stock]]+supply_chain_data[[#This Row],[Units Received]]-supply_chain_data[[#This Row],[Units Sold]]</f>
        <v>148</v>
      </c>
      <c r="M151">
        <v>148</v>
      </c>
      <c r="N151">
        <v>76</v>
      </c>
      <c r="O151" s="2">
        <v>1061</v>
      </c>
      <c r="P151">
        <v>8</v>
      </c>
      <c r="Q151">
        <v>10</v>
      </c>
      <c r="R15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51" t="s">
        <v>24</v>
      </c>
      <c r="T151">
        <v>25</v>
      </c>
      <c r="U151" s="5">
        <f>MAX(0,MIN(1,1-ABS(supply_chain_data[[#This Row],[Forecast Demand]]-supply_chain_data[[#This Row],[Units Sold]])/supply_chain_data[[#This Row],[Forecast Demand]]))</f>
        <v>0.96</v>
      </c>
      <c r="V151" s="4">
        <f>supply_chain_data[[#This Row],[Closing Stock]]/supply_chain_data[[#This Row],[Forecast Demand]]</f>
        <v>5.92</v>
      </c>
      <c r="W151">
        <v>157028</v>
      </c>
    </row>
    <row r="152" spans="1:23" x14ac:dyDescent="0.35">
      <c r="A152" t="s">
        <v>18</v>
      </c>
      <c r="B152" t="s">
        <v>19</v>
      </c>
      <c r="C152" t="s">
        <v>20</v>
      </c>
      <c r="D152" t="s">
        <v>21</v>
      </c>
      <c r="E152" t="s">
        <v>22</v>
      </c>
      <c r="F152" t="s">
        <v>30</v>
      </c>
      <c r="G152" s="3">
        <v>45322</v>
      </c>
      <c r="H152">
        <v>166</v>
      </c>
      <c r="I152">
        <v>17</v>
      </c>
      <c r="J152" t="str">
        <f>IF(supply_chain_data[[#This Row],[Units Sold]]&gt;supply_chain_data[[#This Row],[Opening Stock]],"Yes","No")</f>
        <v>No</v>
      </c>
      <c r="K152">
        <v>48</v>
      </c>
      <c r="L152">
        <f>supply_chain_data[[#This Row],[Opening Stock]]+supply_chain_data[[#This Row],[Units Received]]-supply_chain_data[[#This Row],[Units Sold]]</f>
        <v>197</v>
      </c>
      <c r="M152">
        <v>197</v>
      </c>
      <c r="N152">
        <v>67</v>
      </c>
      <c r="O152" s="2">
        <v>1048</v>
      </c>
      <c r="P152">
        <v>12</v>
      </c>
      <c r="Q152">
        <v>10</v>
      </c>
      <c r="R15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52" t="s">
        <v>24</v>
      </c>
      <c r="T152">
        <v>13</v>
      </c>
      <c r="U152" s="5">
        <f>MAX(0,MIN(1,1-ABS(supply_chain_data[[#This Row],[Forecast Demand]]-supply_chain_data[[#This Row],[Units Sold]])/supply_chain_data[[#This Row],[Forecast Demand]]))</f>
        <v>0.69230769230769229</v>
      </c>
      <c r="V152" s="4">
        <f>supply_chain_data[[#This Row],[Closing Stock]]/supply_chain_data[[#This Row],[Forecast Demand]]</f>
        <v>15.153846153846153</v>
      </c>
      <c r="W152">
        <v>206456</v>
      </c>
    </row>
    <row r="153" spans="1:23" hidden="1" x14ac:dyDescent="0.35">
      <c r="A153" t="s">
        <v>34</v>
      </c>
      <c r="B153" t="s">
        <v>35</v>
      </c>
      <c r="C153" t="s">
        <v>20</v>
      </c>
      <c r="D153" t="s">
        <v>37</v>
      </c>
      <c r="E153" t="s">
        <v>38</v>
      </c>
      <c r="F153" t="s">
        <v>30</v>
      </c>
      <c r="G153" s="3">
        <v>45323</v>
      </c>
      <c r="H153">
        <v>125</v>
      </c>
      <c r="I153">
        <v>14</v>
      </c>
      <c r="J153" t="str">
        <f>IF(supply_chain_data[[#This Row],[Units Sold]]&gt;supply_chain_data[[#This Row],[Opening Stock]],"Yes","No")</f>
        <v>No</v>
      </c>
      <c r="K153">
        <v>22</v>
      </c>
      <c r="L153">
        <f>supply_chain_data[[#This Row],[Opening Stock]]+supply_chain_data[[#This Row],[Units Received]]-supply_chain_data[[#This Row],[Units Sold]]</f>
        <v>133</v>
      </c>
      <c r="M153">
        <v>133</v>
      </c>
      <c r="N153">
        <v>47</v>
      </c>
      <c r="O153" s="2">
        <v>1326</v>
      </c>
      <c r="P153">
        <v>8</v>
      </c>
      <c r="Q153">
        <v>7</v>
      </c>
      <c r="R15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53" t="s">
        <v>24</v>
      </c>
      <c r="T153">
        <v>61</v>
      </c>
      <c r="U153" s="5">
        <f>MAX(0,MIN(1,1-ABS(supply_chain_data[[#This Row],[Forecast Demand]]-supply_chain_data[[#This Row],[Units Sold]])/supply_chain_data[[#This Row],[Forecast Demand]]))</f>
        <v>0.22950819672131151</v>
      </c>
      <c r="V153" s="4">
        <f>supply_chain_data[[#This Row],[Closing Stock]]/supply_chain_data[[#This Row],[Forecast Demand]]</f>
        <v>2.180327868852459</v>
      </c>
      <c r="W153">
        <v>176358</v>
      </c>
    </row>
    <row r="154" spans="1:23" x14ac:dyDescent="0.35">
      <c r="A154" t="s">
        <v>41</v>
      </c>
      <c r="B154" t="s">
        <v>42</v>
      </c>
      <c r="C154" t="s">
        <v>20</v>
      </c>
      <c r="D154" t="s">
        <v>43</v>
      </c>
      <c r="E154" t="s">
        <v>48</v>
      </c>
      <c r="F154" t="s">
        <v>23</v>
      </c>
      <c r="G154" s="3">
        <v>45324</v>
      </c>
      <c r="H154">
        <v>115</v>
      </c>
      <c r="I154">
        <v>5</v>
      </c>
      <c r="J154" t="str">
        <f>IF(supply_chain_data[[#This Row],[Units Sold]]&gt;supply_chain_data[[#This Row],[Opening Stock]],"Yes","No")</f>
        <v>No</v>
      </c>
      <c r="K154">
        <v>36</v>
      </c>
      <c r="L154">
        <f>supply_chain_data[[#This Row],[Opening Stock]]+supply_chain_data[[#This Row],[Units Received]]-supply_chain_data[[#This Row],[Units Sold]]</f>
        <v>146</v>
      </c>
      <c r="M154">
        <v>146</v>
      </c>
      <c r="N154">
        <v>79</v>
      </c>
      <c r="O154" s="2">
        <v>874</v>
      </c>
      <c r="P154">
        <v>14</v>
      </c>
      <c r="Q154">
        <v>0</v>
      </c>
      <c r="R15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54" t="s">
        <v>24</v>
      </c>
      <c r="T154">
        <v>27</v>
      </c>
      <c r="U154" s="5">
        <f>MAX(0,MIN(1,1-ABS(supply_chain_data[[#This Row],[Forecast Demand]]-supply_chain_data[[#This Row],[Units Sold]])/supply_chain_data[[#This Row],[Forecast Demand]]))</f>
        <v>0.18518518518518523</v>
      </c>
      <c r="V154" s="4">
        <f>supply_chain_data[[#This Row],[Closing Stock]]/supply_chain_data[[#This Row],[Forecast Demand]]</f>
        <v>5.4074074074074074</v>
      </c>
      <c r="W154">
        <v>127604</v>
      </c>
    </row>
    <row r="155" spans="1:23" x14ac:dyDescent="0.35">
      <c r="A155" t="s">
        <v>28</v>
      </c>
      <c r="B155" t="s">
        <v>29</v>
      </c>
      <c r="C155" t="s">
        <v>20</v>
      </c>
      <c r="D155" t="s">
        <v>43</v>
      </c>
      <c r="E155" t="s">
        <v>44</v>
      </c>
      <c r="F155" t="s">
        <v>30</v>
      </c>
      <c r="G155" s="3">
        <v>45325</v>
      </c>
      <c r="H155">
        <v>274</v>
      </c>
      <c r="I155">
        <v>16</v>
      </c>
      <c r="J155" t="str">
        <f>IF(supply_chain_data[[#This Row],[Units Sold]]&gt;supply_chain_data[[#This Row],[Opening Stock]],"Yes","No")</f>
        <v>No</v>
      </c>
      <c r="K155">
        <v>36</v>
      </c>
      <c r="L155">
        <f>supply_chain_data[[#This Row],[Opening Stock]]+supply_chain_data[[#This Row],[Units Received]]-supply_chain_data[[#This Row],[Units Sold]]</f>
        <v>294</v>
      </c>
      <c r="M155">
        <v>294</v>
      </c>
      <c r="N155">
        <v>76</v>
      </c>
      <c r="O155" s="2">
        <v>867</v>
      </c>
      <c r="P155">
        <v>9</v>
      </c>
      <c r="Q155">
        <v>9</v>
      </c>
      <c r="R15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55" t="s">
        <v>24</v>
      </c>
      <c r="T155">
        <v>38</v>
      </c>
      <c r="U155" s="5">
        <f>MAX(0,MIN(1,1-ABS(supply_chain_data[[#This Row],[Forecast Demand]]-supply_chain_data[[#This Row],[Units Sold]])/supply_chain_data[[#This Row],[Forecast Demand]]))</f>
        <v>0.42105263157894735</v>
      </c>
      <c r="V155" s="4">
        <f>supply_chain_data[[#This Row],[Closing Stock]]/supply_chain_data[[#This Row],[Forecast Demand]]</f>
        <v>7.7368421052631575</v>
      </c>
      <c r="W155">
        <v>254898</v>
      </c>
    </row>
    <row r="156" spans="1:23" x14ac:dyDescent="0.35">
      <c r="A156" t="s">
        <v>34</v>
      </c>
      <c r="B156" t="s">
        <v>35</v>
      </c>
      <c r="C156" t="s">
        <v>20</v>
      </c>
      <c r="D156" t="s">
        <v>31</v>
      </c>
      <c r="E156" t="s">
        <v>47</v>
      </c>
      <c r="F156" t="s">
        <v>23</v>
      </c>
      <c r="G156" s="3">
        <v>45326</v>
      </c>
      <c r="H156">
        <v>210</v>
      </c>
      <c r="I156">
        <v>31</v>
      </c>
      <c r="J156" t="str">
        <f>IF(supply_chain_data[[#This Row],[Units Sold]]&gt;supply_chain_data[[#This Row],[Opening Stock]],"Yes","No")</f>
        <v>No</v>
      </c>
      <c r="K156">
        <v>56</v>
      </c>
      <c r="L156">
        <f>supply_chain_data[[#This Row],[Opening Stock]]+supply_chain_data[[#This Row],[Units Received]]-supply_chain_data[[#This Row],[Units Sold]]</f>
        <v>235</v>
      </c>
      <c r="M156">
        <v>235</v>
      </c>
      <c r="N156">
        <v>69</v>
      </c>
      <c r="O156" s="2">
        <v>1048</v>
      </c>
      <c r="P156">
        <v>12</v>
      </c>
      <c r="Q156">
        <v>10</v>
      </c>
      <c r="R15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56" t="s">
        <v>24</v>
      </c>
      <c r="T156">
        <v>14</v>
      </c>
      <c r="U156" s="5">
        <f>MAX(0,MIN(1,1-ABS(supply_chain_data[[#This Row],[Forecast Demand]]-supply_chain_data[[#This Row],[Units Sold]])/supply_chain_data[[#This Row],[Forecast Demand]]))</f>
        <v>0</v>
      </c>
      <c r="V156" s="4">
        <f>supply_chain_data[[#This Row],[Closing Stock]]/supply_chain_data[[#This Row],[Forecast Demand]]</f>
        <v>16.785714285714285</v>
      </c>
      <c r="W156">
        <v>246280</v>
      </c>
    </row>
    <row r="157" spans="1:23" hidden="1" x14ac:dyDescent="0.35">
      <c r="A157" t="s">
        <v>28</v>
      </c>
      <c r="B157" t="s">
        <v>29</v>
      </c>
      <c r="C157" t="s">
        <v>20</v>
      </c>
      <c r="D157" t="s">
        <v>21</v>
      </c>
      <c r="E157" t="s">
        <v>27</v>
      </c>
      <c r="F157" t="s">
        <v>33</v>
      </c>
      <c r="G157" s="3">
        <v>45327</v>
      </c>
      <c r="H157">
        <v>149</v>
      </c>
      <c r="I157">
        <v>9</v>
      </c>
      <c r="J157" t="str">
        <f>IF(supply_chain_data[[#This Row],[Units Sold]]&gt;supply_chain_data[[#This Row],[Opening Stock]],"Yes","No")</f>
        <v>No</v>
      </c>
      <c r="K157">
        <v>59</v>
      </c>
      <c r="L157">
        <f>supply_chain_data[[#This Row],[Opening Stock]]+supply_chain_data[[#This Row],[Units Received]]-supply_chain_data[[#This Row],[Units Sold]]</f>
        <v>199</v>
      </c>
      <c r="M157">
        <v>199</v>
      </c>
      <c r="N157">
        <v>99</v>
      </c>
      <c r="O157" s="2">
        <v>189</v>
      </c>
      <c r="P157">
        <v>2</v>
      </c>
      <c r="Q157">
        <v>5</v>
      </c>
      <c r="R15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57" t="s">
        <v>24</v>
      </c>
      <c r="T157">
        <v>55</v>
      </c>
      <c r="U157" s="5">
        <f>MAX(0,MIN(1,1-ABS(supply_chain_data[[#This Row],[Forecast Demand]]-supply_chain_data[[#This Row],[Units Sold]])/supply_chain_data[[#This Row],[Forecast Demand]]))</f>
        <v>0.16363636363636369</v>
      </c>
      <c r="V157" s="4">
        <f>supply_chain_data[[#This Row],[Closing Stock]]/supply_chain_data[[#This Row],[Forecast Demand]]</f>
        <v>3.6181818181818182</v>
      </c>
      <c r="W157">
        <v>37611</v>
      </c>
    </row>
    <row r="158" spans="1:23" hidden="1" x14ac:dyDescent="0.35">
      <c r="A158" t="s">
        <v>28</v>
      </c>
      <c r="B158" t="s">
        <v>29</v>
      </c>
      <c r="C158" t="s">
        <v>20</v>
      </c>
      <c r="D158" t="s">
        <v>31</v>
      </c>
      <c r="E158" t="s">
        <v>32</v>
      </c>
      <c r="F158" t="s">
        <v>23</v>
      </c>
      <c r="G158" s="3">
        <v>45328</v>
      </c>
      <c r="H158">
        <v>63</v>
      </c>
      <c r="I158">
        <v>58</v>
      </c>
      <c r="J158" t="str">
        <f>IF(supply_chain_data[[#This Row],[Units Sold]]&gt;supply_chain_data[[#This Row],[Opening Stock]],"Yes","No")</f>
        <v>No</v>
      </c>
      <c r="K158">
        <v>37</v>
      </c>
      <c r="L158">
        <f>supply_chain_data[[#This Row],[Opening Stock]]+supply_chain_data[[#This Row],[Units Received]]-supply_chain_data[[#This Row],[Units Sold]]</f>
        <v>42</v>
      </c>
      <c r="M158">
        <v>42</v>
      </c>
      <c r="N158">
        <v>63</v>
      </c>
      <c r="O158" s="2">
        <v>1492</v>
      </c>
      <c r="P158">
        <v>15</v>
      </c>
      <c r="Q158">
        <v>6</v>
      </c>
      <c r="R15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158" t="s">
        <v>36</v>
      </c>
      <c r="T158">
        <v>27</v>
      </c>
      <c r="U158" s="5">
        <f>MAX(0,MIN(1,1-ABS(supply_chain_data[[#This Row],[Forecast Demand]]-supply_chain_data[[#This Row],[Units Sold]])/supply_chain_data[[#This Row],[Forecast Demand]]))</f>
        <v>0</v>
      </c>
      <c r="V158" s="4">
        <f>supply_chain_data[[#This Row],[Closing Stock]]/supply_chain_data[[#This Row],[Forecast Demand]]</f>
        <v>1.5555555555555556</v>
      </c>
      <c r="W158">
        <v>62664</v>
      </c>
    </row>
    <row r="159" spans="1:23" hidden="1" x14ac:dyDescent="0.35">
      <c r="A159" t="s">
        <v>25</v>
      </c>
      <c r="B159" t="s">
        <v>26</v>
      </c>
      <c r="C159" t="s">
        <v>20</v>
      </c>
      <c r="D159" t="s">
        <v>21</v>
      </c>
      <c r="E159" t="s">
        <v>27</v>
      </c>
      <c r="F159" t="s">
        <v>30</v>
      </c>
      <c r="G159" s="3">
        <v>45329</v>
      </c>
      <c r="H159">
        <v>197</v>
      </c>
      <c r="I159">
        <v>49</v>
      </c>
      <c r="J159" t="str">
        <f>IF(supply_chain_data[[#This Row],[Units Sold]]&gt;supply_chain_data[[#This Row],[Opening Stock]],"Yes","No")</f>
        <v>No</v>
      </c>
      <c r="K159">
        <v>43</v>
      </c>
      <c r="L159">
        <f>supply_chain_data[[#This Row],[Opening Stock]]+supply_chain_data[[#This Row],[Units Received]]-supply_chain_data[[#This Row],[Units Sold]]</f>
        <v>191</v>
      </c>
      <c r="M159">
        <v>191</v>
      </c>
      <c r="N159">
        <v>60</v>
      </c>
      <c r="O159" s="2">
        <v>696</v>
      </c>
      <c r="P159">
        <v>2</v>
      </c>
      <c r="Q159">
        <v>4</v>
      </c>
      <c r="R15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59" t="s">
        <v>24</v>
      </c>
      <c r="T159">
        <v>57</v>
      </c>
      <c r="U159" s="5">
        <f>MAX(0,MIN(1,1-ABS(supply_chain_data[[#This Row],[Forecast Demand]]-supply_chain_data[[#This Row],[Units Sold]])/supply_chain_data[[#This Row],[Forecast Demand]]))</f>
        <v>0.85964912280701755</v>
      </c>
      <c r="V159" s="4">
        <f>supply_chain_data[[#This Row],[Closing Stock]]/supply_chain_data[[#This Row],[Forecast Demand]]</f>
        <v>3.3508771929824563</v>
      </c>
      <c r="W159">
        <v>132936</v>
      </c>
    </row>
    <row r="160" spans="1:23" hidden="1" x14ac:dyDescent="0.35">
      <c r="A160" t="s">
        <v>18</v>
      </c>
      <c r="B160" t="s">
        <v>19</v>
      </c>
      <c r="C160" t="s">
        <v>20</v>
      </c>
      <c r="D160" t="s">
        <v>37</v>
      </c>
      <c r="E160" t="s">
        <v>38</v>
      </c>
      <c r="F160" t="s">
        <v>33</v>
      </c>
      <c r="G160" s="3">
        <v>45330</v>
      </c>
      <c r="H160">
        <v>112</v>
      </c>
      <c r="I160">
        <v>40</v>
      </c>
      <c r="J160" t="str">
        <f>IF(supply_chain_data[[#This Row],[Units Sold]]&gt;supply_chain_data[[#This Row],[Opening Stock]],"Yes","No")</f>
        <v>No</v>
      </c>
      <c r="K160">
        <v>16</v>
      </c>
      <c r="L160">
        <f>supply_chain_data[[#This Row],[Opening Stock]]+supply_chain_data[[#This Row],[Units Received]]-supply_chain_data[[#This Row],[Units Sold]]</f>
        <v>88</v>
      </c>
      <c r="M160">
        <v>88</v>
      </c>
      <c r="N160">
        <v>99</v>
      </c>
      <c r="O160" s="2">
        <v>1493</v>
      </c>
      <c r="P160">
        <v>9</v>
      </c>
      <c r="Q160">
        <v>9</v>
      </c>
      <c r="R16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160" t="s">
        <v>36</v>
      </c>
      <c r="T160">
        <v>53</v>
      </c>
      <c r="U160" s="5">
        <f>MAX(0,MIN(1,1-ABS(supply_chain_data[[#This Row],[Forecast Demand]]-supply_chain_data[[#This Row],[Units Sold]])/supply_chain_data[[#This Row],[Forecast Demand]]))</f>
        <v>0.75471698113207553</v>
      </c>
      <c r="V160" s="4">
        <f>supply_chain_data[[#This Row],[Closing Stock]]/supply_chain_data[[#This Row],[Forecast Demand]]</f>
        <v>1.6603773584905661</v>
      </c>
      <c r="W160">
        <v>131384</v>
      </c>
    </row>
    <row r="161" spans="1:23" x14ac:dyDescent="0.35">
      <c r="A161" t="s">
        <v>41</v>
      </c>
      <c r="B161" t="s">
        <v>42</v>
      </c>
      <c r="C161" t="s">
        <v>20</v>
      </c>
      <c r="D161" t="s">
        <v>31</v>
      </c>
      <c r="E161" t="s">
        <v>32</v>
      </c>
      <c r="F161" t="s">
        <v>30</v>
      </c>
      <c r="G161" s="3">
        <v>45331</v>
      </c>
      <c r="H161">
        <v>204</v>
      </c>
      <c r="I161">
        <v>50</v>
      </c>
      <c r="J161" t="str">
        <f>IF(supply_chain_data[[#This Row],[Units Sold]]&gt;supply_chain_data[[#This Row],[Opening Stock]],"Yes","No")</f>
        <v>No</v>
      </c>
      <c r="K161">
        <v>77</v>
      </c>
      <c r="L161">
        <f>supply_chain_data[[#This Row],[Opening Stock]]+supply_chain_data[[#This Row],[Units Received]]-supply_chain_data[[#This Row],[Units Sold]]</f>
        <v>231</v>
      </c>
      <c r="M161">
        <v>231</v>
      </c>
      <c r="N161">
        <v>57</v>
      </c>
      <c r="O161" s="2">
        <v>441</v>
      </c>
      <c r="P161">
        <v>6</v>
      </c>
      <c r="Q161">
        <v>8</v>
      </c>
      <c r="R16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61" t="s">
        <v>24</v>
      </c>
      <c r="T161">
        <v>17</v>
      </c>
      <c r="U161" s="5">
        <f>MAX(0,MIN(1,1-ABS(supply_chain_data[[#This Row],[Forecast Demand]]-supply_chain_data[[#This Row],[Units Sold]])/supply_chain_data[[#This Row],[Forecast Demand]]))</f>
        <v>0</v>
      </c>
      <c r="V161" s="4">
        <f>supply_chain_data[[#This Row],[Closing Stock]]/supply_chain_data[[#This Row],[Forecast Demand]]</f>
        <v>13.588235294117647</v>
      </c>
      <c r="W161">
        <v>101871</v>
      </c>
    </row>
    <row r="162" spans="1:23" x14ac:dyDescent="0.35">
      <c r="A162" t="s">
        <v>41</v>
      </c>
      <c r="B162" t="s">
        <v>42</v>
      </c>
      <c r="C162" t="s">
        <v>20</v>
      </c>
      <c r="D162" t="s">
        <v>31</v>
      </c>
      <c r="E162" t="s">
        <v>47</v>
      </c>
      <c r="F162" t="s">
        <v>23</v>
      </c>
      <c r="G162" s="3">
        <v>45332</v>
      </c>
      <c r="H162">
        <v>196</v>
      </c>
      <c r="I162">
        <v>11</v>
      </c>
      <c r="J162" t="str">
        <f>IF(supply_chain_data[[#This Row],[Units Sold]]&gt;supply_chain_data[[#This Row],[Opening Stock]],"Yes","No")</f>
        <v>No</v>
      </c>
      <c r="K162">
        <v>78</v>
      </c>
      <c r="L162">
        <f>supply_chain_data[[#This Row],[Opening Stock]]+supply_chain_data[[#This Row],[Units Received]]-supply_chain_data[[#This Row],[Units Sold]]</f>
        <v>263</v>
      </c>
      <c r="M162">
        <v>263</v>
      </c>
      <c r="N162">
        <v>82</v>
      </c>
      <c r="O162" s="2">
        <v>483</v>
      </c>
      <c r="P162">
        <v>12</v>
      </c>
      <c r="Q162">
        <v>3</v>
      </c>
      <c r="R16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62" t="s">
        <v>24</v>
      </c>
      <c r="T162">
        <v>14</v>
      </c>
      <c r="U162" s="5">
        <f>MAX(0,MIN(1,1-ABS(supply_chain_data[[#This Row],[Forecast Demand]]-supply_chain_data[[#This Row],[Units Sold]])/supply_chain_data[[#This Row],[Forecast Demand]]))</f>
        <v>0.7857142857142857</v>
      </c>
      <c r="V162" s="4">
        <f>supply_chain_data[[#This Row],[Closing Stock]]/supply_chain_data[[#This Row],[Forecast Demand]]</f>
        <v>18.785714285714285</v>
      </c>
      <c r="W162">
        <v>127029</v>
      </c>
    </row>
    <row r="163" spans="1:23" x14ac:dyDescent="0.35">
      <c r="A163" t="s">
        <v>28</v>
      </c>
      <c r="B163" t="s">
        <v>29</v>
      </c>
      <c r="C163" t="s">
        <v>20</v>
      </c>
      <c r="D163" t="s">
        <v>43</v>
      </c>
      <c r="E163" t="s">
        <v>48</v>
      </c>
      <c r="F163" t="s">
        <v>23</v>
      </c>
      <c r="G163" s="3">
        <v>45333</v>
      </c>
      <c r="H163">
        <v>228</v>
      </c>
      <c r="I163">
        <v>49</v>
      </c>
      <c r="J163" t="str">
        <f>IF(supply_chain_data[[#This Row],[Units Sold]]&gt;supply_chain_data[[#This Row],[Opening Stock]],"Yes","No")</f>
        <v>No</v>
      </c>
      <c r="K163">
        <v>73</v>
      </c>
      <c r="L163">
        <f>supply_chain_data[[#This Row],[Opening Stock]]+supply_chain_data[[#This Row],[Units Received]]-supply_chain_data[[#This Row],[Units Sold]]</f>
        <v>252</v>
      </c>
      <c r="M163">
        <v>252</v>
      </c>
      <c r="N163">
        <v>86</v>
      </c>
      <c r="O163" s="2">
        <v>600</v>
      </c>
      <c r="P163">
        <v>8</v>
      </c>
      <c r="Q163">
        <v>5</v>
      </c>
      <c r="R16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63" t="s">
        <v>24</v>
      </c>
      <c r="T163">
        <v>10</v>
      </c>
      <c r="U163" s="5">
        <f>MAX(0,MIN(1,1-ABS(supply_chain_data[[#This Row],[Forecast Demand]]-supply_chain_data[[#This Row],[Units Sold]])/supply_chain_data[[#This Row],[Forecast Demand]]))</f>
        <v>0</v>
      </c>
      <c r="V163" s="4">
        <f>supply_chain_data[[#This Row],[Closing Stock]]/supply_chain_data[[#This Row],[Forecast Demand]]</f>
        <v>25.2</v>
      </c>
      <c r="W163">
        <v>151200</v>
      </c>
    </row>
    <row r="164" spans="1:23" x14ac:dyDescent="0.35">
      <c r="A164" t="s">
        <v>25</v>
      </c>
      <c r="B164" t="s">
        <v>26</v>
      </c>
      <c r="C164" t="s">
        <v>20</v>
      </c>
      <c r="D164" t="s">
        <v>37</v>
      </c>
      <c r="E164" t="s">
        <v>38</v>
      </c>
      <c r="F164" t="s">
        <v>30</v>
      </c>
      <c r="G164" s="3">
        <v>45334</v>
      </c>
      <c r="H164">
        <v>215</v>
      </c>
      <c r="I164">
        <v>28</v>
      </c>
      <c r="J164" t="str">
        <f>IF(supply_chain_data[[#This Row],[Units Sold]]&gt;supply_chain_data[[#This Row],[Opening Stock]],"Yes","No")</f>
        <v>No</v>
      </c>
      <c r="K164">
        <v>66</v>
      </c>
      <c r="L164">
        <f>supply_chain_data[[#This Row],[Opening Stock]]+supply_chain_data[[#This Row],[Units Received]]-supply_chain_data[[#This Row],[Units Sold]]</f>
        <v>253</v>
      </c>
      <c r="M164">
        <v>253</v>
      </c>
      <c r="N164">
        <v>89</v>
      </c>
      <c r="O164" s="2">
        <v>1152</v>
      </c>
      <c r="P164">
        <v>8</v>
      </c>
      <c r="Q164">
        <v>5</v>
      </c>
      <c r="R16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64" t="s">
        <v>24</v>
      </c>
      <c r="T164">
        <v>52</v>
      </c>
      <c r="U164" s="5">
        <f>MAX(0,MIN(1,1-ABS(supply_chain_data[[#This Row],[Forecast Demand]]-supply_chain_data[[#This Row],[Units Sold]])/supply_chain_data[[#This Row],[Forecast Demand]]))</f>
        <v>0.53846153846153844</v>
      </c>
      <c r="V164" s="4">
        <f>supply_chain_data[[#This Row],[Closing Stock]]/supply_chain_data[[#This Row],[Forecast Demand]]</f>
        <v>4.865384615384615</v>
      </c>
      <c r="W164">
        <v>291456</v>
      </c>
    </row>
    <row r="165" spans="1:23" hidden="1" x14ac:dyDescent="0.35">
      <c r="A165" t="s">
        <v>25</v>
      </c>
      <c r="B165" t="s">
        <v>26</v>
      </c>
      <c r="C165" t="s">
        <v>20</v>
      </c>
      <c r="D165" t="s">
        <v>37</v>
      </c>
      <c r="E165" t="s">
        <v>38</v>
      </c>
      <c r="F165" t="s">
        <v>23</v>
      </c>
      <c r="G165" s="3">
        <v>45335</v>
      </c>
      <c r="H165">
        <v>66</v>
      </c>
      <c r="I165">
        <v>19</v>
      </c>
      <c r="J165" t="str">
        <f>IF(supply_chain_data[[#This Row],[Units Sold]]&gt;supply_chain_data[[#This Row],[Opening Stock]],"Yes","No")</f>
        <v>No</v>
      </c>
      <c r="K165">
        <v>7</v>
      </c>
      <c r="L165">
        <f>supply_chain_data[[#This Row],[Opening Stock]]+supply_chain_data[[#This Row],[Units Received]]-supply_chain_data[[#This Row],[Units Sold]]</f>
        <v>54</v>
      </c>
      <c r="M165">
        <v>54</v>
      </c>
      <c r="N165">
        <v>41</v>
      </c>
      <c r="O165" s="2">
        <v>166</v>
      </c>
      <c r="P165">
        <v>10</v>
      </c>
      <c r="Q165">
        <v>9</v>
      </c>
      <c r="R16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165" t="s">
        <v>24</v>
      </c>
      <c r="T165">
        <v>39</v>
      </c>
      <c r="U165" s="5">
        <f>MAX(0,MIN(1,1-ABS(supply_chain_data[[#This Row],[Forecast Demand]]-supply_chain_data[[#This Row],[Units Sold]])/supply_chain_data[[#This Row],[Forecast Demand]]))</f>
        <v>0.48717948717948723</v>
      </c>
      <c r="V165" s="4">
        <f>supply_chain_data[[#This Row],[Closing Stock]]/supply_chain_data[[#This Row],[Forecast Demand]]</f>
        <v>1.3846153846153846</v>
      </c>
      <c r="W165">
        <v>8964</v>
      </c>
    </row>
    <row r="166" spans="1:23" hidden="1" x14ac:dyDescent="0.35">
      <c r="A166" t="s">
        <v>41</v>
      </c>
      <c r="B166" t="s">
        <v>42</v>
      </c>
      <c r="C166" t="s">
        <v>20</v>
      </c>
      <c r="D166" t="s">
        <v>43</v>
      </c>
      <c r="E166" t="s">
        <v>48</v>
      </c>
      <c r="F166" t="s">
        <v>23</v>
      </c>
      <c r="G166" s="3">
        <v>45336</v>
      </c>
      <c r="H166">
        <v>131</v>
      </c>
      <c r="I166">
        <v>15</v>
      </c>
      <c r="J166" t="str">
        <f>IF(supply_chain_data[[#This Row],[Units Sold]]&gt;supply_chain_data[[#This Row],[Opening Stock]],"Yes","No")</f>
        <v>No</v>
      </c>
      <c r="K166">
        <v>0</v>
      </c>
      <c r="L166">
        <f>supply_chain_data[[#This Row],[Opening Stock]]+supply_chain_data[[#This Row],[Units Received]]-supply_chain_data[[#This Row],[Units Sold]]</f>
        <v>116</v>
      </c>
      <c r="M166">
        <v>116</v>
      </c>
      <c r="N166">
        <v>50</v>
      </c>
      <c r="O166" s="2">
        <v>1084</v>
      </c>
      <c r="P166">
        <v>2</v>
      </c>
      <c r="Q166">
        <v>3</v>
      </c>
      <c r="R16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166" t="s">
        <v>24</v>
      </c>
      <c r="T166">
        <v>67</v>
      </c>
      <c r="U166" s="5">
        <f>MAX(0,MIN(1,1-ABS(supply_chain_data[[#This Row],[Forecast Demand]]-supply_chain_data[[#This Row],[Units Sold]])/supply_chain_data[[#This Row],[Forecast Demand]]))</f>
        <v>0.22388059701492535</v>
      </c>
      <c r="V166" s="4">
        <f>supply_chain_data[[#This Row],[Closing Stock]]/supply_chain_data[[#This Row],[Forecast Demand]]</f>
        <v>1.7313432835820894</v>
      </c>
      <c r="W166">
        <v>125744</v>
      </c>
    </row>
    <row r="167" spans="1:23" x14ac:dyDescent="0.35">
      <c r="A167" t="s">
        <v>18</v>
      </c>
      <c r="B167" t="s">
        <v>19</v>
      </c>
      <c r="C167" t="s">
        <v>20</v>
      </c>
      <c r="D167" t="s">
        <v>37</v>
      </c>
      <c r="E167" t="s">
        <v>46</v>
      </c>
      <c r="F167" t="s">
        <v>23</v>
      </c>
      <c r="G167" s="3">
        <v>45337</v>
      </c>
      <c r="H167">
        <v>234</v>
      </c>
      <c r="I167">
        <v>35</v>
      </c>
      <c r="J167" t="str">
        <f>IF(supply_chain_data[[#This Row],[Units Sold]]&gt;supply_chain_data[[#This Row],[Opening Stock]],"Yes","No")</f>
        <v>No</v>
      </c>
      <c r="K167">
        <v>64</v>
      </c>
      <c r="L167">
        <f>supply_chain_data[[#This Row],[Opening Stock]]+supply_chain_data[[#This Row],[Units Received]]-supply_chain_data[[#This Row],[Units Sold]]</f>
        <v>263</v>
      </c>
      <c r="M167">
        <v>263</v>
      </c>
      <c r="N167">
        <v>94</v>
      </c>
      <c r="O167" s="2">
        <v>712</v>
      </c>
      <c r="P167">
        <v>6</v>
      </c>
      <c r="Q167">
        <v>5</v>
      </c>
      <c r="R16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67" t="s">
        <v>24</v>
      </c>
      <c r="T167">
        <v>53</v>
      </c>
      <c r="U167" s="5">
        <f>MAX(0,MIN(1,1-ABS(supply_chain_data[[#This Row],[Forecast Demand]]-supply_chain_data[[#This Row],[Units Sold]])/supply_chain_data[[#This Row],[Forecast Demand]]))</f>
        <v>0.66037735849056611</v>
      </c>
      <c r="V167" s="4">
        <f>supply_chain_data[[#This Row],[Closing Stock]]/supply_chain_data[[#This Row],[Forecast Demand]]</f>
        <v>4.9622641509433958</v>
      </c>
      <c r="W167">
        <v>187256</v>
      </c>
    </row>
    <row r="168" spans="1:23" hidden="1" x14ac:dyDescent="0.35">
      <c r="A168" t="s">
        <v>25</v>
      </c>
      <c r="B168" t="s">
        <v>26</v>
      </c>
      <c r="C168" t="s">
        <v>20</v>
      </c>
      <c r="D168" t="s">
        <v>37</v>
      </c>
      <c r="E168" t="s">
        <v>46</v>
      </c>
      <c r="F168" t="s">
        <v>23</v>
      </c>
      <c r="G168" s="3">
        <v>45338</v>
      </c>
      <c r="H168">
        <v>51</v>
      </c>
      <c r="I168">
        <v>36</v>
      </c>
      <c r="J168" t="str">
        <f>IF(supply_chain_data[[#This Row],[Units Sold]]&gt;supply_chain_data[[#This Row],[Opening Stock]],"Yes","No")</f>
        <v>No</v>
      </c>
      <c r="K168">
        <v>59</v>
      </c>
      <c r="L168">
        <f>supply_chain_data[[#This Row],[Opening Stock]]+supply_chain_data[[#This Row],[Units Received]]-supply_chain_data[[#This Row],[Units Sold]]</f>
        <v>74</v>
      </c>
      <c r="M168">
        <v>74</v>
      </c>
      <c r="N168">
        <v>43</v>
      </c>
      <c r="O168" s="2">
        <v>938</v>
      </c>
      <c r="P168">
        <v>10</v>
      </c>
      <c r="Q168">
        <v>9</v>
      </c>
      <c r="R16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68" t="s">
        <v>24</v>
      </c>
      <c r="T168">
        <v>21</v>
      </c>
      <c r="U168" s="5">
        <f>MAX(0,MIN(1,1-ABS(supply_chain_data[[#This Row],[Forecast Demand]]-supply_chain_data[[#This Row],[Units Sold]])/supply_chain_data[[#This Row],[Forecast Demand]]))</f>
        <v>0.2857142857142857</v>
      </c>
      <c r="V168" s="4">
        <f>supply_chain_data[[#This Row],[Closing Stock]]/supply_chain_data[[#This Row],[Forecast Demand]]</f>
        <v>3.5238095238095237</v>
      </c>
      <c r="W168">
        <v>69412</v>
      </c>
    </row>
    <row r="169" spans="1:23" hidden="1" x14ac:dyDescent="0.35">
      <c r="A169" t="s">
        <v>28</v>
      </c>
      <c r="B169" t="s">
        <v>29</v>
      </c>
      <c r="C169" t="s">
        <v>20</v>
      </c>
      <c r="D169" t="s">
        <v>31</v>
      </c>
      <c r="E169" t="s">
        <v>32</v>
      </c>
      <c r="F169" t="s">
        <v>30</v>
      </c>
      <c r="G169" s="3">
        <v>45339</v>
      </c>
      <c r="H169">
        <v>226</v>
      </c>
      <c r="I169">
        <v>27</v>
      </c>
      <c r="J169" t="str">
        <f>IF(supply_chain_data[[#This Row],[Units Sold]]&gt;supply_chain_data[[#This Row],[Opening Stock]],"Yes","No")</f>
        <v>No</v>
      </c>
      <c r="K169">
        <v>6</v>
      </c>
      <c r="L169">
        <f>supply_chain_data[[#This Row],[Opening Stock]]+supply_chain_data[[#This Row],[Units Received]]-supply_chain_data[[#This Row],[Units Sold]]</f>
        <v>205</v>
      </c>
      <c r="M169">
        <v>205</v>
      </c>
      <c r="N169">
        <v>43</v>
      </c>
      <c r="O169" s="2">
        <v>472</v>
      </c>
      <c r="P169">
        <v>12</v>
      </c>
      <c r="Q169">
        <v>0</v>
      </c>
      <c r="R16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69" t="s">
        <v>24</v>
      </c>
      <c r="T169">
        <v>55</v>
      </c>
      <c r="U169" s="5">
        <f>MAX(0,MIN(1,1-ABS(supply_chain_data[[#This Row],[Forecast Demand]]-supply_chain_data[[#This Row],[Units Sold]])/supply_chain_data[[#This Row],[Forecast Demand]]))</f>
        <v>0.49090909090909096</v>
      </c>
      <c r="V169" s="4">
        <f>supply_chain_data[[#This Row],[Closing Stock]]/supply_chain_data[[#This Row],[Forecast Demand]]</f>
        <v>3.7272727272727271</v>
      </c>
      <c r="W169">
        <v>96760</v>
      </c>
    </row>
    <row r="170" spans="1:23" x14ac:dyDescent="0.35">
      <c r="A170" t="s">
        <v>28</v>
      </c>
      <c r="B170" t="s">
        <v>29</v>
      </c>
      <c r="C170" t="s">
        <v>20</v>
      </c>
      <c r="D170" t="s">
        <v>37</v>
      </c>
      <c r="E170" t="s">
        <v>46</v>
      </c>
      <c r="F170" t="s">
        <v>23</v>
      </c>
      <c r="G170" s="3">
        <v>45340</v>
      </c>
      <c r="H170">
        <v>226</v>
      </c>
      <c r="I170">
        <v>46</v>
      </c>
      <c r="J170" t="str">
        <f>IF(supply_chain_data[[#This Row],[Units Sold]]&gt;supply_chain_data[[#This Row],[Opening Stock]],"Yes","No")</f>
        <v>No</v>
      </c>
      <c r="K170">
        <v>51</v>
      </c>
      <c r="L170">
        <f>supply_chain_data[[#This Row],[Opening Stock]]+supply_chain_data[[#This Row],[Units Received]]-supply_chain_data[[#This Row],[Units Sold]]</f>
        <v>231</v>
      </c>
      <c r="M170">
        <v>231</v>
      </c>
      <c r="N170">
        <v>99</v>
      </c>
      <c r="O170" s="2">
        <v>927</v>
      </c>
      <c r="P170">
        <v>6</v>
      </c>
      <c r="Q170">
        <v>6</v>
      </c>
      <c r="R17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70" t="s">
        <v>24</v>
      </c>
      <c r="T170">
        <v>55</v>
      </c>
      <c r="U170" s="5">
        <f>MAX(0,MIN(1,1-ABS(supply_chain_data[[#This Row],[Forecast Demand]]-supply_chain_data[[#This Row],[Units Sold]])/supply_chain_data[[#This Row],[Forecast Demand]]))</f>
        <v>0.83636363636363642</v>
      </c>
      <c r="V170" s="4">
        <f>supply_chain_data[[#This Row],[Closing Stock]]/supply_chain_data[[#This Row],[Forecast Demand]]</f>
        <v>4.2</v>
      </c>
      <c r="W170">
        <v>214137</v>
      </c>
    </row>
    <row r="171" spans="1:23" x14ac:dyDescent="0.35">
      <c r="A171" t="s">
        <v>28</v>
      </c>
      <c r="B171" t="s">
        <v>29</v>
      </c>
      <c r="C171" t="s">
        <v>20</v>
      </c>
      <c r="D171" t="s">
        <v>43</v>
      </c>
      <c r="E171" t="s">
        <v>48</v>
      </c>
      <c r="F171" t="s">
        <v>23</v>
      </c>
      <c r="G171" s="3">
        <v>45341</v>
      </c>
      <c r="H171">
        <v>136</v>
      </c>
      <c r="I171">
        <v>39</v>
      </c>
      <c r="J171" t="str">
        <f>IF(supply_chain_data[[#This Row],[Units Sold]]&gt;supply_chain_data[[#This Row],[Opening Stock]],"Yes","No")</f>
        <v>No</v>
      </c>
      <c r="K171">
        <v>46</v>
      </c>
      <c r="L171">
        <f>supply_chain_data[[#This Row],[Opening Stock]]+supply_chain_data[[#This Row],[Units Received]]-supply_chain_data[[#This Row],[Units Sold]]</f>
        <v>143</v>
      </c>
      <c r="M171">
        <v>143</v>
      </c>
      <c r="N171">
        <v>43</v>
      </c>
      <c r="O171" s="2">
        <v>940</v>
      </c>
      <c r="P171">
        <v>5</v>
      </c>
      <c r="Q171">
        <v>6</v>
      </c>
      <c r="R17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71" t="s">
        <v>24</v>
      </c>
      <c r="T171">
        <v>21</v>
      </c>
      <c r="U171" s="5">
        <f>MAX(0,MIN(1,1-ABS(supply_chain_data[[#This Row],[Forecast Demand]]-supply_chain_data[[#This Row],[Units Sold]])/supply_chain_data[[#This Row],[Forecast Demand]]))</f>
        <v>0.1428571428571429</v>
      </c>
      <c r="V171" s="4">
        <f>supply_chain_data[[#This Row],[Closing Stock]]/supply_chain_data[[#This Row],[Forecast Demand]]</f>
        <v>6.8095238095238093</v>
      </c>
      <c r="W171">
        <v>134420</v>
      </c>
    </row>
    <row r="172" spans="1:23" x14ac:dyDescent="0.35">
      <c r="A172" t="s">
        <v>34</v>
      </c>
      <c r="B172" t="s">
        <v>35</v>
      </c>
      <c r="C172" t="s">
        <v>20</v>
      </c>
      <c r="D172" t="s">
        <v>39</v>
      </c>
      <c r="E172" t="s">
        <v>40</v>
      </c>
      <c r="F172" t="s">
        <v>33</v>
      </c>
      <c r="G172" s="3">
        <v>45342</v>
      </c>
      <c r="H172">
        <v>254</v>
      </c>
      <c r="I172">
        <v>39</v>
      </c>
      <c r="J172" t="str">
        <f>IF(supply_chain_data[[#This Row],[Units Sold]]&gt;supply_chain_data[[#This Row],[Opening Stock]],"Yes","No")</f>
        <v>No</v>
      </c>
      <c r="K172">
        <v>33</v>
      </c>
      <c r="L172">
        <f>supply_chain_data[[#This Row],[Opening Stock]]+supply_chain_data[[#This Row],[Units Received]]-supply_chain_data[[#This Row],[Units Sold]]</f>
        <v>248</v>
      </c>
      <c r="M172">
        <v>248</v>
      </c>
      <c r="N172">
        <v>66</v>
      </c>
      <c r="O172" s="2">
        <v>1450</v>
      </c>
      <c r="P172">
        <v>14</v>
      </c>
      <c r="Q172">
        <v>7</v>
      </c>
      <c r="R17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72" t="s">
        <v>24</v>
      </c>
      <c r="T172">
        <v>10</v>
      </c>
      <c r="U172" s="5">
        <f>MAX(0,MIN(1,1-ABS(supply_chain_data[[#This Row],[Forecast Demand]]-supply_chain_data[[#This Row],[Units Sold]])/supply_chain_data[[#This Row],[Forecast Demand]]))</f>
        <v>0</v>
      </c>
      <c r="V172" s="4">
        <f>supply_chain_data[[#This Row],[Closing Stock]]/supply_chain_data[[#This Row],[Forecast Demand]]</f>
        <v>24.8</v>
      </c>
      <c r="W172">
        <v>359600</v>
      </c>
    </row>
    <row r="173" spans="1:23" x14ac:dyDescent="0.35">
      <c r="A173" t="s">
        <v>18</v>
      </c>
      <c r="B173" t="s">
        <v>19</v>
      </c>
      <c r="C173" t="s">
        <v>20</v>
      </c>
      <c r="D173" t="s">
        <v>39</v>
      </c>
      <c r="E173" t="s">
        <v>40</v>
      </c>
      <c r="F173" t="s">
        <v>33</v>
      </c>
      <c r="G173" s="3">
        <v>45343</v>
      </c>
      <c r="H173">
        <v>211</v>
      </c>
      <c r="I173">
        <v>24</v>
      </c>
      <c r="J173" t="str">
        <f>IF(supply_chain_data[[#This Row],[Units Sold]]&gt;supply_chain_data[[#This Row],[Opening Stock]],"Yes","No")</f>
        <v>No</v>
      </c>
      <c r="K173">
        <v>74</v>
      </c>
      <c r="L173">
        <f>supply_chain_data[[#This Row],[Opening Stock]]+supply_chain_data[[#This Row],[Units Received]]-supply_chain_data[[#This Row],[Units Sold]]</f>
        <v>261</v>
      </c>
      <c r="M173">
        <v>261</v>
      </c>
      <c r="N173">
        <v>44</v>
      </c>
      <c r="O173" s="2">
        <v>660</v>
      </c>
      <c r="P173">
        <v>8</v>
      </c>
      <c r="Q173">
        <v>3</v>
      </c>
      <c r="R17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73" t="s">
        <v>24</v>
      </c>
      <c r="T173">
        <v>49</v>
      </c>
      <c r="U173" s="5">
        <f>MAX(0,MIN(1,1-ABS(supply_chain_data[[#This Row],[Forecast Demand]]-supply_chain_data[[#This Row],[Units Sold]])/supply_chain_data[[#This Row],[Forecast Demand]]))</f>
        <v>0.48979591836734693</v>
      </c>
      <c r="V173" s="4">
        <f>supply_chain_data[[#This Row],[Closing Stock]]/supply_chain_data[[#This Row],[Forecast Demand]]</f>
        <v>5.3265306122448983</v>
      </c>
      <c r="W173">
        <v>172260</v>
      </c>
    </row>
    <row r="174" spans="1:23" hidden="1" x14ac:dyDescent="0.35">
      <c r="A174" t="s">
        <v>28</v>
      </c>
      <c r="B174" t="s">
        <v>29</v>
      </c>
      <c r="C174" t="s">
        <v>20</v>
      </c>
      <c r="D174" t="s">
        <v>39</v>
      </c>
      <c r="E174" t="s">
        <v>45</v>
      </c>
      <c r="F174" t="s">
        <v>23</v>
      </c>
      <c r="G174" s="3">
        <v>45344</v>
      </c>
      <c r="H174">
        <v>99</v>
      </c>
      <c r="I174">
        <v>25</v>
      </c>
      <c r="J174" t="str">
        <f>IF(supply_chain_data[[#This Row],[Units Sold]]&gt;supply_chain_data[[#This Row],[Opening Stock]],"Yes","No")</f>
        <v>No</v>
      </c>
      <c r="K174">
        <v>1</v>
      </c>
      <c r="L174">
        <f>supply_chain_data[[#This Row],[Opening Stock]]+supply_chain_data[[#This Row],[Units Received]]-supply_chain_data[[#This Row],[Units Sold]]</f>
        <v>75</v>
      </c>
      <c r="M174">
        <v>75</v>
      </c>
      <c r="N174">
        <v>82</v>
      </c>
      <c r="O174" s="2">
        <v>1046</v>
      </c>
      <c r="P174">
        <v>12</v>
      </c>
      <c r="Q174">
        <v>6</v>
      </c>
      <c r="R17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174" t="s">
        <v>36</v>
      </c>
      <c r="T174">
        <v>55</v>
      </c>
      <c r="U174" s="5">
        <f>MAX(0,MIN(1,1-ABS(supply_chain_data[[#This Row],[Forecast Demand]]-supply_chain_data[[#This Row],[Units Sold]])/supply_chain_data[[#This Row],[Forecast Demand]]))</f>
        <v>0.45454545454545459</v>
      </c>
      <c r="V174" s="4">
        <f>supply_chain_data[[#This Row],[Closing Stock]]/supply_chain_data[[#This Row],[Forecast Demand]]</f>
        <v>1.3636363636363635</v>
      </c>
      <c r="W174">
        <v>78450</v>
      </c>
    </row>
    <row r="175" spans="1:23" x14ac:dyDescent="0.35">
      <c r="A175" t="s">
        <v>28</v>
      </c>
      <c r="B175" t="s">
        <v>29</v>
      </c>
      <c r="C175" t="s">
        <v>20</v>
      </c>
      <c r="D175" t="s">
        <v>21</v>
      </c>
      <c r="E175" t="s">
        <v>22</v>
      </c>
      <c r="F175" t="s">
        <v>30</v>
      </c>
      <c r="G175" s="3">
        <v>45345</v>
      </c>
      <c r="H175">
        <v>191</v>
      </c>
      <c r="I175">
        <v>20</v>
      </c>
      <c r="J175" t="str">
        <f>IF(supply_chain_data[[#This Row],[Units Sold]]&gt;supply_chain_data[[#This Row],[Opening Stock]],"Yes","No")</f>
        <v>No</v>
      </c>
      <c r="K175">
        <v>38</v>
      </c>
      <c r="L175">
        <f>supply_chain_data[[#This Row],[Opening Stock]]+supply_chain_data[[#This Row],[Units Received]]-supply_chain_data[[#This Row],[Units Sold]]</f>
        <v>209</v>
      </c>
      <c r="M175">
        <v>209</v>
      </c>
      <c r="N175">
        <v>62</v>
      </c>
      <c r="O175" s="2">
        <v>79</v>
      </c>
      <c r="P175">
        <v>4</v>
      </c>
      <c r="Q175">
        <v>2</v>
      </c>
      <c r="R17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75" t="s">
        <v>24</v>
      </c>
      <c r="T175">
        <v>19</v>
      </c>
      <c r="U175" s="5">
        <f>MAX(0,MIN(1,1-ABS(supply_chain_data[[#This Row],[Forecast Demand]]-supply_chain_data[[#This Row],[Units Sold]])/supply_chain_data[[#This Row],[Forecast Demand]]))</f>
        <v>0.94736842105263164</v>
      </c>
      <c r="V175" s="4">
        <f>supply_chain_data[[#This Row],[Closing Stock]]/supply_chain_data[[#This Row],[Forecast Demand]]</f>
        <v>11</v>
      </c>
      <c r="W175">
        <v>16511</v>
      </c>
    </row>
    <row r="176" spans="1:23" hidden="1" x14ac:dyDescent="0.35">
      <c r="A176" t="s">
        <v>18</v>
      </c>
      <c r="B176" t="s">
        <v>19</v>
      </c>
      <c r="C176" t="s">
        <v>20</v>
      </c>
      <c r="D176" t="s">
        <v>39</v>
      </c>
      <c r="E176" t="s">
        <v>45</v>
      </c>
      <c r="F176" t="s">
        <v>23</v>
      </c>
      <c r="G176" s="3">
        <v>45346</v>
      </c>
      <c r="H176">
        <v>107</v>
      </c>
      <c r="I176">
        <v>43</v>
      </c>
      <c r="J176" t="str">
        <f>IF(supply_chain_data[[#This Row],[Units Sold]]&gt;supply_chain_data[[#This Row],[Opening Stock]],"Yes","No")</f>
        <v>No</v>
      </c>
      <c r="K176">
        <v>27</v>
      </c>
      <c r="L176">
        <f>supply_chain_data[[#This Row],[Opening Stock]]+supply_chain_data[[#This Row],[Units Received]]-supply_chain_data[[#This Row],[Units Sold]]</f>
        <v>91</v>
      </c>
      <c r="M176">
        <v>91</v>
      </c>
      <c r="N176">
        <v>65</v>
      </c>
      <c r="O176" s="2">
        <v>749</v>
      </c>
      <c r="P176">
        <v>14</v>
      </c>
      <c r="Q176">
        <v>2</v>
      </c>
      <c r="R17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76" t="s">
        <v>24</v>
      </c>
      <c r="T176">
        <v>38</v>
      </c>
      <c r="U176" s="5">
        <f>MAX(0,MIN(1,1-ABS(supply_chain_data[[#This Row],[Forecast Demand]]-supply_chain_data[[#This Row],[Units Sold]])/supply_chain_data[[#This Row],[Forecast Demand]]))</f>
        <v>0.86842105263157898</v>
      </c>
      <c r="V176" s="4">
        <f>supply_chain_data[[#This Row],[Closing Stock]]/supply_chain_data[[#This Row],[Forecast Demand]]</f>
        <v>2.3947368421052633</v>
      </c>
      <c r="W176">
        <v>68159</v>
      </c>
    </row>
    <row r="177" spans="1:23" x14ac:dyDescent="0.35">
      <c r="A177" t="s">
        <v>25</v>
      </c>
      <c r="B177" t="s">
        <v>26</v>
      </c>
      <c r="C177" t="s">
        <v>20</v>
      </c>
      <c r="D177" t="s">
        <v>21</v>
      </c>
      <c r="E177" t="s">
        <v>27</v>
      </c>
      <c r="F177" t="s">
        <v>23</v>
      </c>
      <c r="G177" s="3">
        <v>45347</v>
      </c>
      <c r="H177">
        <v>178</v>
      </c>
      <c r="I177">
        <v>11</v>
      </c>
      <c r="J177" t="str">
        <f>IF(supply_chain_data[[#This Row],[Units Sold]]&gt;supply_chain_data[[#This Row],[Opening Stock]],"Yes","No")</f>
        <v>No</v>
      </c>
      <c r="K177">
        <v>16</v>
      </c>
      <c r="L177">
        <f>supply_chain_data[[#This Row],[Opening Stock]]+supply_chain_data[[#This Row],[Units Received]]-supply_chain_data[[#This Row],[Units Sold]]</f>
        <v>183</v>
      </c>
      <c r="M177">
        <v>183</v>
      </c>
      <c r="N177">
        <v>68</v>
      </c>
      <c r="O177" s="2">
        <v>222</v>
      </c>
      <c r="P177">
        <v>10</v>
      </c>
      <c r="Q177">
        <v>6</v>
      </c>
      <c r="R17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77" t="s">
        <v>24</v>
      </c>
      <c r="T177">
        <v>29</v>
      </c>
      <c r="U177" s="5">
        <f>MAX(0,MIN(1,1-ABS(supply_chain_data[[#This Row],[Forecast Demand]]-supply_chain_data[[#This Row],[Units Sold]])/supply_chain_data[[#This Row],[Forecast Demand]]))</f>
        <v>0.37931034482758619</v>
      </c>
      <c r="V177" s="4">
        <f>supply_chain_data[[#This Row],[Closing Stock]]/supply_chain_data[[#This Row],[Forecast Demand]]</f>
        <v>6.3103448275862073</v>
      </c>
      <c r="W177">
        <v>40626</v>
      </c>
    </row>
    <row r="178" spans="1:23" x14ac:dyDescent="0.35">
      <c r="A178" t="s">
        <v>41</v>
      </c>
      <c r="B178" t="s">
        <v>42</v>
      </c>
      <c r="C178" t="s">
        <v>20</v>
      </c>
      <c r="D178" t="s">
        <v>39</v>
      </c>
      <c r="E178" t="s">
        <v>40</v>
      </c>
      <c r="F178" t="s">
        <v>23</v>
      </c>
      <c r="G178" s="3">
        <v>45348</v>
      </c>
      <c r="H178">
        <v>185</v>
      </c>
      <c r="I178">
        <v>25</v>
      </c>
      <c r="J178" t="str">
        <f>IF(supply_chain_data[[#This Row],[Units Sold]]&gt;supply_chain_data[[#This Row],[Opening Stock]],"Yes","No")</f>
        <v>No</v>
      </c>
      <c r="K178">
        <v>27</v>
      </c>
      <c r="L178">
        <f>supply_chain_data[[#This Row],[Opening Stock]]+supply_chain_data[[#This Row],[Units Received]]-supply_chain_data[[#This Row],[Units Sold]]</f>
        <v>187</v>
      </c>
      <c r="M178">
        <v>187</v>
      </c>
      <c r="N178">
        <v>57</v>
      </c>
      <c r="O178" s="2">
        <v>131</v>
      </c>
      <c r="P178">
        <v>10</v>
      </c>
      <c r="Q178">
        <v>7</v>
      </c>
      <c r="R17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78" t="s">
        <v>24</v>
      </c>
      <c r="T178">
        <v>37</v>
      </c>
      <c r="U178" s="5">
        <f>MAX(0,MIN(1,1-ABS(supply_chain_data[[#This Row],[Forecast Demand]]-supply_chain_data[[#This Row],[Units Sold]])/supply_chain_data[[#This Row],[Forecast Demand]]))</f>
        <v>0.67567567567567566</v>
      </c>
      <c r="V178" s="4">
        <f>supply_chain_data[[#This Row],[Closing Stock]]/supply_chain_data[[#This Row],[Forecast Demand]]</f>
        <v>5.0540540540540544</v>
      </c>
      <c r="W178">
        <v>24497</v>
      </c>
    </row>
    <row r="179" spans="1:23" hidden="1" x14ac:dyDescent="0.35">
      <c r="A179" t="s">
        <v>34</v>
      </c>
      <c r="B179" t="s">
        <v>35</v>
      </c>
      <c r="C179" t="s">
        <v>20</v>
      </c>
      <c r="D179" t="s">
        <v>21</v>
      </c>
      <c r="E179" t="s">
        <v>22</v>
      </c>
      <c r="F179" t="s">
        <v>23</v>
      </c>
      <c r="G179" s="3">
        <v>45349</v>
      </c>
      <c r="H179">
        <v>126</v>
      </c>
      <c r="I179">
        <v>58</v>
      </c>
      <c r="J179" t="str">
        <f>IF(supply_chain_data[[#This Row],[Units Sold]]&gt;supply_chain_data[[#This Row],[Opening Stock]],"Yes","No")</f>
        <v>No</v>
      </c>
      <c r="K179">
        <v>65</v>
      </c>
      <c r="L179">
        <f>supply_chain_data[[#This Row],[Opening Stock]]+supply_chain_data[[#This Row],[Units Received]]-supply_chain_data[[#This Row],[Units Sold]]</f>
        <v>133</v>
      </c>
      <c r="M179">
        <v>133</v>
      </c>
      <c r="N179">
        <v>41</v>
      </c>
      <c r="O179" s="2">
        <v>866</v>
      </c>
      <c r="P179">
        <v>5</v>
      </c>
      <c r="Q179">
        <v>4</v>
      </c>
      <c r="R17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79" t="s">
        <v>24</v>
      </c>
      <c r="T179">
        <v>57</v>
      </c>
      <c r="U179" s="5">
        <f>MAX(0,MIN(1,1-ABS(supply_chain_data[[#This Row],[Forecast Demand]]-supply_chain_data[[#This Row],[Units Sold]])/supply_chain_data[[#This Row],[Forecast Demand]]))</f>
        <v>0.98245614035087714</v>
      </c>
      <c r="V179" s="4">
        <f>supply_chain_data[[#This Row],[Closing Stock]]/supply_chain_data[[#This Row],[Forecast Demand]]</f>
        <v>2.3333333333333335</v>
      </c>
      <c r="W179">
        <v>115178</v>
      </c>
    </row>
    <row r="180" spans="1:23" hidden="1" x14ac:dyDescent="0.35">
      <c r="A180" t="s">
        <v>25</v>
      </c>
      <c r="B180" t="s">
        <v>26</v>
      </c>
      <c r="C180" t="s">
        <v>20</v>
      </c>
      <c r="D180" t="s">
        <v>37</v>
      </c>
      <c r="E180" t="s">
        <v>38</v>
      </c>
      <c r="F180" t="s">
        <v>30</v>
      </c>
      <c r="G180" s="3">
        <v>45350</v>
      </c>
      <c r="H180">
        <v>56</v>
      </c>
      <c r="I180">
        <v>16</v>
      </c>
      <c r="J180" t="str">
        <f>IF(supply_chain_data[[#This Row],[Units Sold]]&gt;supply_chain_data[[#This Row],[Opening Stock]],"Yes","No")</f>
        <v>No</v>
      </c>
      <c r="K180">
        <v>30</v>
      </c>
      <c r="L180">
        <f>supply_chain_data[[#This Row],[Opening Stock]]+supply_chain_data[[#This Row],[Units Received]]-supply_chain_data[[#This Row],[Units Sold]]</f>
        <v>70</v>
      </c>
      <c r="M180">
        <v>70</v>
      </c>
      <c r="N180">
        <v>47</v>
      </c>
      <c r="O180" s="2">
        <v>460</v>
      </c>
      <c r="P180">
        <v>5</v>
      </c>
      <c r="Q180">
        <v>6</v>
      </c>
      <c r="R18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180" t="s">
        <v>24</v>
      </c>
      <c r="T180">
        <v>37</v>
      </c>
      <c r="U180" s="5">
        <f>MAX(0,MIN(1,1-ABS(supply_chain_data[[#This Row],[Forecast Demand]]-supply_chain_data[[#This Row],[Units Sold]])/supply_chain_data[[#This Row],[Forecast Demand]]))</f>
        <v>0.43243243243243246</v>
      </c>
      <c r="V180" s="4">
        <f>supply_chain_data[[#This Row],[Closing Stock]]/supply_chain_data[[#This Row],[Forecast Demand]]</f>
        <v>1.8918918918918919</v>
      </c>
      <c r="W180">
        <v>32200</v>
      </c>
    </row>
    <row r="181" spans="1:23" x14ac:dyDescent="0.35">
      <c r="A181" t="s">
        <v>41</v>
      </c>
      <c r="B181" t="s">
        <v>42</v>
      </c>
      <c r="C181" t="s">
        <v>20</v>
      </c>
      <c r="D181" t="s">
        <v>39</v>
      </c>
      <c r="E181" t="s">
        <v>45</v>
      </c>
      <c r="F181" t="s">
        <v>23</v>
      </c>
      <c r="G181" s="3">
        <v>45351</v>
      </c>
      <c r="H181">
        <v>111</v>
      </c>
      <c r="I181">
        <v>28</v>
      </c>
      <c r="J181" t="str">
        <f>IF(supply_chain_data[[#This Row],[Units Sold]]&gt;supply_chain_data[[#This Row],[Opening Stock]],"Yes","No")</f>
        <v>No</v>
      </c>
      <c r="K181">
        <v>28</v>
      </c>
      <c r="L181">
        <f>supply_chain_data[[#This Row],[Opening Stock]]+supply_chain_data[[#This Row],[Units Received]]-supply_chain_data[[#This Row],[Units Sold]]</f>
        <v>111</v>
      </c>
      <c r="M181">
        <v>111</v>
      </c>
      <c r="N181">
        <v>99</v>
      </c>
      <c r="O181" s="2">
        <v>1033</v>
      </c>
      <c r="P181">
        <v>10</v>
      </c>
      <c r="Q181">
        <v>6</v>
      </c>
      <c r="R18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81" t="s">
        <v>24</v>
      </c>
      <c r="T181">
        <v>27</v>
      </c>
      <c r="U181" s="5">
        <f>MAX(0,MIN(1,1-ABS(supply_chain_data[[#This Row],[Forecast Demand]]-supply_chain_data[[#This Row],[Units Sold]])/supply_chain_data[[#This Row],[Forecast Demand]]))</f>
        <v>0.96296296296296302</v>
      </c>
      <c r="V181" s="4">
        <f>supply_chain_data[[#This Row],[Closing Stock]]/supply_chain_data[[#This Row],[Forecast Demand]]</f>
        <v>4.1111111111111107</v>
      </c>
      <c r="W181">
        <v>114663</v>
      </c>
    </row>
    <row r="182" spans="1:23" x14ac:dyDescent="0.35">
      <c r="A182" t="s">
        <v>34</v>
      </c>
      <c r="B182" t="s">
        <v>35</v>
      </c>
      <c r="C182" t="s">
        <v>20</v>
      </c>
      <c r="D182" t="s">
        <v>21</v>
      </c>
      <c r="E182" t="s">
        <v>27</v>
      </c>
      <c r="F182" t="s">
        <v>33</v>
      </c>
      <c r="G182" s="3">
        <v>45352</v>
      </c>
      <c r="H182">
        <v>222</v>
      </c>
      <c r="I182">
        <v>25</v>
      </c>
      <c r="J182" t="str">
        <f>IF(supply_chain_data[[#This Row],[Units Sold]]&gt;supply_chain_data[[#This Row],[Opening Stock]],"Yes","No")</f>
        <v>No</v>
      </c>
      <c r="K182">
        <v>75</v>
      </c>
      <c r="L182">
        <f>supply_chain_data[[#This Row],[Opening Stock]]+supply_chain_data[[#This Row],[Units Received]]-supply_chain_data[[#This Row],[Units Sold]]</f>
        <v>272</v>
      </c>
      <c r="M182">
        <v>272</v>
      </c>
      <c r="N182">
        <v>60</v>
      </c>
      <c r="O182" s="2">
        <v>1457</v>
      </c>
      <c r="P182">
        <v>9</v>
      </c>
      <c r="Q182">
        <v>0</v>
      </c>
      <c r="R18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82" t="s">
        <v>24</v>
      </c>
      <c r="T182">
        <v>24</v>
      </c>
      <c r="U182" s="5">
        <f>MAX(0,MIN(1,1-ABS(supply_chain_data[[#This Row],[Forecast Demand]]-supply_chain_data[[#This Row],[Units Sold]])/supply_chain_data[[#This Row],[Forecast Demand]]))</f>
        <v>0.95833333333333337</v>
      </c>
      <c r="V182" s="4">
        <f>supply_chain_data[[#This Row],[Closing Stock]]/supply_chain_data[[#This Row],[Forecast Demand]]</f>
        <v>11.333333333333334</v>
      </c>
      <c r="W182">
        <v>396304</v>
      </c>
    </row>
    <row r="183" spans="1:23" hidden="1" x14ac:dyDescent="0.35">
      <c r="A183" t="s">
        <v>34</v>
      </c>
      <c r="B183" t="s">
        <v>35</v>
      </c>
      <c r="C183" t="s">
        <v>20</v>
      </c>
      <c r="D183" t="s">
        <v>21</v>
      </c>
      <c r="E183" t="s">
        <v>27</v>
      </c>
      <c r="F183" t="s">
        <v>30</v>
      </c>
      <c r="G183" s="3">
        <v>45353</v>
      </c>
      <c r="H183">
        <v>123</v>
      </c>
      <c r="I183">
        <v>52</v>
      </c>
      <c r="J183" t="str">
        <f>IF(supply_chain_data[[#This Row],[Units Sold]]&gt;supply_chain_data[[#This Row],[Opening Stock]],"Yes","No")</f>
        <v>No</v>
      </c>
      <c r="K183">
        <v>26</v>
      </c>
      <c r="L183">
        <f>supply_chain_data[[#This Row],[Opening Stock]]+supply_chain_data[[#This Row],[Units Received]]-supply_chain_data[[#This Row],[Units Sold]]</f>
        <v>97</v>
      </c>
      <c r="M183">
        <v>97</v>
      </c>
      <c r="N183">
        <v>96</v>
      </c>
      <c r="O183" s="2">
        <v>1451</v>
      </c>
      <c r="P183">
        <v>9</v>
      </c>
      <c r="Q183">
        <v>8</v>
      </c>
      <c r="R18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183" t="s">
        <v>24</v>
      </c>
      <c r="T183">
        <v>59</v>
      </c>
      <c r="U183" s="5">
        <f>MAX(0,MIN(1,1-ABS(supply_chain_data[[#This Row],[Forecast Demand]]-supply_chain_data[[#This Row],[Units Sold]])/supply_chain_data[[#This Row],[Forecast Demand]]))</f>
        <v>0.88135593220338981</v>
      </c>
      <c r="V183" s="4">
        <f>supply_chain_data[[#This Row],[Closing Stock]]/supply_chain_data[[#This Row],[Forecast Demand]]</f>
        <v>1.6440677966101696</v>
      </c>
      <c r="W183">
        <v>140747</v>
      </c>
    </row>
    <row r="184" spans="1:23" x14ac:dyDescent="0.35">
      <c r="A184" t="s">
        <v>34</v>
      </c>
      <c r="B184" t="s">
        <v>35</v>
      </c>
      <c r="C184" t="s">
        <v>20</v>
      </c>
      <c r="D184" t="s">
        <v>31</v>
      </c>
      <c r="E184" t="s">
        <v>47</v>
      </c>
      <c r="F184" t="s">
        <v>30</v>
      </c>
      <c r="G184" s="3">
        <v>45354</v>
      </c>
      <c r="H184">
        <v>265</v>
      </c>
      <c r="I184">
        <v>12</v>
      </c>
      <c r="J184" t="str">
        <f>IF(supply_chain_data[[#This Row],[Units Sold]]&gt;supply_chain_data[[#This Row],[Opening Stock]],"Yes","No")</f>
        <v>No</v>
      </c>
      <c r="K184">
        <v>11</v>
      </c>
      <c r="L184">
        <f>supply_chain_data[[#This Row],[Opening Stock]]+supply_chain_data[[#This Row],[Units Received]]-supply_chain_data[[#This Row],[Units Sold]]</f>
        <v>264</v>
      </c>
      <c r="M184">
        <v>264</v>
      </c>
      <c r="N184">
        <v>59</v>
      </c>
      <c r="O184" s="2">
        <v>1193</v>
      </c>
      <c r="P184">
        <v>4</v>
      </c>
      <c r="Q184">
        <v>8</v>
      </c>
      <c r="R18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84" t="s">
        <v>24</v>
      </c>
      <c r="T184">
        <v>40</v>
      </c>
      <c r="U184" s="5">
        <f>MAX(0,MIN(1,1-ABS(supply_chain_data[[#This Row],[Forecast Demand]]-supply_chain_data[[#This Row],[Units Sold]])/supply_chain_data[[#This Row],[Forecast Demand]]))</f>
        <v>0.30000000000000004</v>
      </c>
      <c r="V184" s="4">
        <f>supply_chain_data[[#This Row],[Closing Stock]]/supply_chain_data[[#This Row],[Forecast Demand]]</f>
        <v>6.6</v>
      </c>
      <c r="W184">
        <v>314952</v>
      </c>
    </row>
    <row r="185" spans="1:23" x14ac:dyDescent="0.35">
      <c r="A185" t="s">
        <v>28</v>
      </c>
      <c r="B185" t="s">
        <v>29</v>
      </c>
      <c r="C185" t="s">
        <v>20</v>
      </c>
      <c r="D185" t="s">
        <v>43</v>
      </c>
      <c r="E185" t="s">
        <v>44</v>
      </c>
      <c r="F185" t="s">
        <v>30</v>
      </c>
      <c r="G185" s="3">
        <v>45355</v>
      </c>
      <c r="H185">
        <v>187</v>
      </c>
      <c r="I185">
        <v>50</v>
      </c>
      <c r="J185" t="str">
        <f>IF(supply_chain_data[[#This Row],[Units Sold]]&gt;supply_chain_data[[#This Row],[Opening Stock]],"Yes","No")</f>
        <v>No</v>
      </c>
      <c r="K185">
        <v>24</v>
      </c>
      <c r="L185">
        <f>supply_chain_data[[#This Row],[Opening Stock]]+supply_chain_data[[#This Row],[Units Received]]-supply_chain_data[[#This Row],[Units Sold]]</f>
        <v>161</v>
      </c>
      <c r="M185">
        <v>161</v>
      </c>
      <c r="N185">
        <v>40</v>
      </c>
      <c r="O185" s="2">
        <v>321</v>
      </c>
      <c r="P185">
        <v>7</v>
      </c>
      <c r="Q185">
        <v>7</v>
      </c>
      <c r="R18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85" t="s">
        <v>24</v>
      </c>
      <c r="T185">
        <v>29</v>
      </c>
      <c r="U185" s="5">
        <f>MAX(0,MIN(1,1-ABS(supply_chain_data[[#This Row],[Forecast Demand]]-supply_chain_data[[#This Row],[Units Sold]])/supply_chain_data[[#This Row],[Forecast Demand]]))</f>
        <v>0.27586206896551724</v>
      </c>
      <c r="V185" s="4">
        <f>supply_chain_data[[#This Row],[Closing Stock]]/supply_chain_data[[#This Row],[Forecast Demand]]</f>
        <v>5.5517241379310347</v>
      </c>
      <c r="W185">
        <v>51681</v>
      </c>
    </row>
    <row r="186" spans="1:23" hidden="1" x14ac:dyDescent="0.35">
      <c r="A186" t="s">
        <v>28</v>
      </c>
      <c r="B186" t="s">
        <v>29</v>
      </c>
      <c r="C186" t="s">
        <v>20</v>
      </c>
      <c r="D186" t="s">
        <v>43</v>
      </c>
      <c r="E186" t="s">
        <v>48</v>
      </c>
      <c r="F186" t="s">
        <v>33</v>
      </c>
      <c r="G186" s="3">
        <v>45356</v>
      </c>
      <c r="H186">
        <v>116</v>
      </c>
      <c r="I186">
        <v>8</v>
      </c>
      <c r="J186" t="str">
        <f>IF(supply_chain_data[[#This Row],[Units Sold]]&gt;supply_chain_data[[#This Row],[Opening Stock]],"Yes","No")</f>
        <v>No</v>
      </c>
      <c r="K186">
        <v>17</v>
      </c>
      <c r="L186">
        <f>supply_chain_data[[#This Row],[Opening Stock]]+supply_chain_data[[#This Row],[Units Received]]-supply_chain_data[[#This Row],[Units Sold]]</f>
        <v>125</v>
      </c>
      <c r="M186">
        <v>125</v>
      </c>
      <c r="N186">
        <v>64</v>
      </c>
      <c r="O186" s="2">
        <v>1055</v>
      </c>
      <c r="P186">
        <v>15</v>
      </c>
      <c r="Q186">
        <v>3</v>
      </c>
      <c r="R18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86" t="s">
        <v>24</v>
      </c>
      <c r="T186">
        <v>36</v>
      </c>
      <c r="U186" s="5">
        <f>MAX(0,MIN(1,1-ABS(supply_chain_data[[#This Row],[Forecast Demand]]-supply_chain_data[[#This Row],[Units Sold]])/supply_chain_data[[#This Row],[Forecast Demand]]))</f>
        <v>0.22222222222222221</v>
      </c>
      <c r="V186" s="4">
        <f>supply_chain_data[[#This Row],[Closing Stock]]/supply_chain_data[[#This Row],[Forecast Demand]]</f>
        <v>3.4722222222222223</v>
      </c>
      <c r="W186">
        <v>131875</v>
      </c>
    </row>
    <row r="187" spans="1:23" hidden="1" x14ac:dyDescent="0.35">
      <c r="A187" t="s">
        <v>41</v>
      </c>
      <c r="B187" t="s">
        <v>42</v>
      </c>
      <c r="C187" t="s">
        <v>20</v>
      </c>
      <c r="D187" t="s">
        <v>37</v>
      </c>
      <c r="E187" t="s">
        <v>38</v>
      </c>
      <c r="F187" t="s">
        <v>30</v>
      </c>
      <c r="G187" s="3">
        <v>45357</v>
      </c>
      <c r="H187">
        <v>162</v>
      </c>
      <c r="I187">
        <v>26</v>
      </c>
      <c r="J187" t="str">
        <f>IF(supply_chain_data[[#This Row],[Units Sold]]&gt;supply_chain_data[[#This Row],[Opening Stock]],"Yes","No")</f>
        <v>No</v>
      </c>
      <c r="K187">
        <v>53</v>
      </c>
      <c r="L187">
        <f>supply_chain_data[[#This Row],[Opening Stock]]+supply_chain_data[[#This Row],[Units Received]]-supply_chain_data[[#This Row],[Units Sold]]</f>
        <v>189</v>
      </c>
      <c r="M187">
        <v>189</v>
      </c>
      <c r="N187">
        <v>54</v>
      </c>
      <c r="O187" s="2">
        <v>1047</v>
      </c>
      <c r="P187">
        <v>5</v>
      </c>
      <c r="Q187">
        <v>10</v>
      </c>
      <c r="R18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87" t="s">
        <v>24</v>
      </c>
      <c r="T187">
        <v>70</v>
      </c>
      <c r="U187" s="5">
        <f>MAX(0,MIN(1,1-ABS(supply_chain_data[[#This Row],[Forecast Demand]]-supply_chain_data[[#This Row],[Units Sold]])/supply_chain_data[[#This Row],[Forecast Demand]]))</f>
        <v>0.37142857142857144</v>
      </c>
      <c r="V187" s="4">
        <f>supply_chain_data[[#This Row],[Closing Stock]]/supply_chain_data[[#This Row],[Forecast Demand]]</f>
        <v>2.7</v>
      </c>
      <c r="W187">
        <v>197883</v>
      </c>
    </row>
    <row r="188" spans="1:23" hidden="1" x14ac:dyDescent="0.35">
      <c r="A188" t="s">
        <v>18</v>
      </c>
      <c r="B188" t="s">
        <v>19</v>
      </c>
      <c r="C188" t="s">
        <v>20</v>
      </c>
      <c r="D188" t="s">
        <v>37</v>
      </c>
      <c r="E188" t="s">
        <v>38</v>
      </c>
      <c r="F188" t="s">
        <v>33</v>
      </c>
      <c r="G188" s="3">
        <v>45358</v>
      </c>
      <c r="H188">
        <v>213</v>
      </c>
      <c r="I188">
        <v>14</v>
      </c>
      <c r="J188" t="str">
        <f>IF(supply_chain_data[[#This Row],[Units Sold]]&gt;supply_chain_data[[#This Row],[Opening Stock]],"Yes","No")</f>
        <v>No</v>
      </c>
      <c r="K188">
        <v>11</v>
      </c>
      <c r="L188">
        <f>supply_chain_data[[#This Row],[Opening Stock]]+supply_chain_data[[#This Row],[Units Received]]-supply_chain_data[[#This Row],[Units Sold]]</f>
        <v>210</v>
      </c>
      <c r="M188">
        <v>210</v>
      </c>
      <c r="N188">
        <v>68</v>
      </c>
      <c r="O188" s="2">
        <v>1390</v>
      </c>
      <c r="P188">
        <v>5</v>
      </c>
      <c r="Q188">
        <v>1</v>
      </c>
      <c r="R18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88" t="s">
        <v>24</v>
      </c>
      <c r="T188">
        <v>57</v>
      </c>
      <c r="U188" s="5">
        <f>MAX(0,MIN(1,1-ABS(supply_chain_data[[#This Row],[Forecast Demand]]-supply_chain_data[[#This Row],[Units Sold]])/supply_chain_data[[#This Row],[Forecast Demand]]))</f>
        <v>0.24561403508771928</v>
      </c>
      <c r="V188" s="4">
        <f>supply_chain_data[[#This Row],[Closing Stock]]/supply_chain_data[[#This Row],[Forecast Demand]]</f>
        <v>3.6842105263157894</v>
      </c>
      <c r="W188">
        <v>291900</v>
      </c>
    </row>
    <row r="189" spans="1:23" x14ac:dyDescent="0.35">
      <c r="A189" t="s">
        <v>25</v>
      </c>
      <c r="B189" t="s">
        <v>26</v>
      </c>
      <c r="C189" t="s">
        <v>20</v>
      </c>
      <c r="D189" t="s">
        <v>37</v>
      </c>
      <c r="E189" t="s">
        <v>46</v>
      </c>
      <c r="F189" t="s">
        <v>23</v>
      </c>
      <c r="G189" s="3">
        <v>45359</v>
      </c>
      <c r="H189">
        <v>220</v>
      </c>
      <c r="I189">
        <v>42</v>
      </c>
      <c r="J189" t="str">
        <f>IF(supply_chain_data[[#This Row],[Units Sold]]&gt;supply_chain_data[[#This Row],[Opening Stock]],"Yes","No")</f>
        <v>No</v>
      </c>
      <c r="K189">
        <v>22</v>
      </c>
      <c r="L189">
        <f>supply_chain_data[[#This Row],[Opening Stock]]+supply_chain_data[[#This Row],[Units Received]]-supply_chain_data[[#This Row],[Units Sold]]</f>
        <v>200</v>
      </c>
      <c r="M189">
        <v>200</v>
      </c>
      <c r="N189">
        <v>54</v>
      </c>
      <c r="O189" s="2">
        <v>201</v>
      </c>
      <c r="P189">
        <v>15</v>
      </c>
      <c r="Q189">
        <v>10</v>
      </c>
      <c r="R18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89" t="s">
        <v>24</v>
      </c>
      <c r="T189">
        <v>10</v>
      </c>
      <c r="U189" s="5">
        <f>MAX(0,MIN(1,1-ABS(supply_chain_data[[#This Row],[Forecast Demand]]-supply_chain_data[[#This Row],[Units Sold]])/supply_chain_data[[#This Row],[Forecast Demand]]))</f>
        <v>0</v>
      </c>
      <c r="V189" s="4">
        <f>supply_chain_data[[#This Row],[Closing Stock]]/supply_chain_data[[#This Row],[Forecast Demand]]</f>
        <v>20</v>
      </c>
      <c r="W189">
        <v>40200</v>
      </c>
    </row>
    <row r="190" spans="1:23" hidden="1" x14ac:dyDescent="0.35">
      <c r="A190" t="s">
        <v>25</v>
      </c>
      <c r="B190" t="s">
        <v>26</v>
      </c>
      <c r="C190" t="s">
        <v>20</v>
      </c>
      <c r="D190" t="s">
        <v>43</v>
      </c>
      <c r="E190" t="s">
        <v>44</v>
      </c>
      <c r="F190" t="s">
        <v>33</v>
      </c>
      <c r="G190" s="3">
        <v>45360</v>
      </c>
      <c r="H190">
        <v>152</v>
      </c>
      <c r="I190">
        <v>59</v>
      </c>
      <c r="J190" t="str">
        <f>IF(supply_chain_data[[#This Row],[Units Sold]]&gt;supply_chain_data[[#This Row],[Opening Stock]],"Yes","No")</f>
        <v>No</v>
      </c>
      <c r="K190">
        <v>46</v>
      </c>
      <c r="L190">
        <f>supply_chain_data[[#This Row],[Opening Stock]]+supply_chain_data[[#This Row],[Units Received]]-supply_chain_data[[#This Row],[Units Sold]]</f>
        <v>139</v>
      </c>
      <c r="M190">
        <v>139</v>
      </c>
      <c r="N190">
        <v>45</v>
      </c>
      <c r="O190" s="2">
        <v>1324</v>
      </c>
      <c r="P190">
        <v>3</v>
      </c>
      <c r="Q190">
        <v>8</v>
      </c>
      <c r="R19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90" t="s">
        <v>24</v>
      </c>
      <c r="T190">
        <v>60</v>
      </c>
      <c r="U190" s="5">
        <f>MAX(0,MIN(1,1-ABS(supply_chain_data[[#This Row],[Forecast Demand]]-supply_chain_data[[#This Row],[Units Sold]])/supply_chain_data[[#This Row],[Forecast Demand]]))</f>
        <v>0.98333333333333328</v>
      </c>
      <c r="V190" s="4">
        <f>supply_chain_data[[#This Row],[Closing Stock]]/supply_chain_data[[#This Row],[Forecast Demand]]</f>
        <v>2.3166666666666669</v>
      </c>
      <c r="W190">
        <v>184036</v>
      </c>
    </row>
    <row r="191" spans="1:23" hidden="1" x14ac:dyDescent="0.35">
      <c r="A191" t="s">
        <v>41</v>
      </c>
      <c r="B191" t="s">
        <v>42</v>
      </c>
      <c r="C191" t="s">
        <v>20</v>
      </c>
      <c r="D191" t="s">
        <v>21</v>
      </c>
      <c r="E191" t="s">
        <v>22</v>
      </c>
      <c r="F191" t="s">
        <v>33</v>
      </c>
      <c r="G191" s="3">
        <v>45361</v>
      </c>
      <c r="H191">
        <v>79</v>
      </c>
      <c r="I191">
        <v>43</v>
      </c>
      <c r="J191" t="str">
        <f>IF(supply_chain_data[[#This Row],[Units Sold]]&gt;supply_chain_data[[#This Row],[Opening Stock]],"Yes","No")</f>
        <v>No</v>
      </c>
      <c r="K191">
        <v>38</v>
      </c>
      <c r="L191">
        <f>supply_chain_data[[#This Row],[Opening Stock]]+supply_chain_data[[#This Row],[Units Received]]-supply_chain_data[[#This Row],[Units Sold]]</f>
        <v>74</v>
      </c>
      <c r="M191">
        <v>74</v>
      </c>
      <c r="N191">
        <v>45</v>
      </c>
      <c r="O191" s="2">
        <v>1195</v>
      </c>
      <c r="P191">
        <v>4</v>
      </c>
      <c r="Q191">
        <v>0</v>
      </c>
      <c r="R19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91" t="s">
        <v>24</v>
      </c>
      <c r="T191">
        <v>30</v>
      </c>
      <c r="U191" s="5">
        <f>MAX(0,MIN(1,1-ABS(supply_chain_data[[#This Row],[Forecast Demand]]-supply_chain_data[[#This Row],[Units Sold]])/supply_chain_data[[#This Row],[Forecast Demand]]))</f>
        <v>0.56666666666666665</v>
      </c>
      <c r="V191" s="4">
        <f>supply_chain_data[[#This Row],[Closing Stock]]/supply_chain_data[[#This Row],[Forecast Demand]]</f>
        <v>2.4666666666666668</v>
      </c>
      <c r="W191">
        <v>88430</v>
      </c>
    </row>
    <row r="192" spans="1:23" x14ac:dyDescent="0.35">
      <c r="A192" t="s">
        <v>41</v>
      </c>
      <c r="B192" t="s">
        <v>42</v>
      </c>
      <c r="C192" t="s">
        <v>20</v>
      </c>
      <c r="D192" t="s">
        <v>39</v>
      </c>
      <c r="E192" t="s">
        <v>40</v>
      </c>
      <c r="F192" t="s">
        <v>33</v>
      </c>
      <c r="G192" s="3">
        <v>45362</v>
      </c>
      <c r="H192">
        <v>174</v>
      </c>
      <c r="I192">
        <v>27</v>
      </c>
      <c r="J192" t="str">
        <f>IF(supply_chain_data[[#This Row],[Units Sold]]&gt;supply_chain_data[[#This Row],[Opening Stock]],"Yes","No")</f>
        <v>No</v>
      </c>
      <c r="K192">
        <v>17</v>
      </c>
      <c r="L192">
        <f>supply_chain_data[[#This Row],[Opening Stock]]+supply_chain_data[[#This Row],[Units Received]]-supply_chain_data[[#This Row],[Units Sold]]</f>
        <v>164</v>
      </c>
      <c r="M192">
        <v>164</v>
      </c>
      <c r="N192">
        <v>94</v>
      </c>
      <c r="O192" s="2">
        <v>241</v>
      </c>
      <c r="P192">
        <v>6</v>
      </c>
      <c r="Q192">
        <v>0</v>
      </c>
      <c r="R19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92" t="s">
        <v>24</v>
      </c>
      <c r="T192">
        <v>20</v>
      </c>
      <c r="U192" s="5">
        <f>MAX(0,MIN(1,1-ABS(supply_chain_data[[#This Row],[Forecast Demand]]-supply_chain_data[[#This Row],[Units Sold]])/supply_chain_data[[#This Row],[Forecast Demand]]))</f>
        <v>0.65</v>
      </c>
      <c r="V192" s="4">
        <f>supply_chain_data[[#This Row],[Closing Stock]]/supply_chain_data[[#This Row],[Forecast Demand]]</f>
        <v>8.1999999999999993</v>
      </c>
      <c r="W192">
        <v>39524</v>
      </c>
    </row>
    <row r="193" spans="1:23" x14ac:dyDescent="0.35">
      <c r="A193" t="s">
        <v>18</v>
      </c>
      <c r="B193" t="s">
        <v>19</v>
      </c>
      <c r="C193" t="s">
        <v>20</v>
      </c>
      <c r="D193" t="s">
        <v>39</v>
      </c>
      <c r="E193" t="s">
        <v>40</v>
      </c>
      <c r="F193" t="s">
        <v>30</v>
      </c>
      <c r="G193" s="3">
        <v>45363</v>
      </c>
      <c r="H193">
        <v>136</v>
      </c>
      <c r="I193">
        <v>26</v>
      </c>
      <c r="J193" t="str">
        <f>IF(supply_chain_data[[#This Row],[Units Sold]]&gt;supply_chain_data[[#This Row],[Opening Stock]],"Yes","No")</f>
        <v>No</v>
      </c>
      <c r="K193">
        <v>49</v>
      </c>
      <c r="L193">
        <f>supply_chain_data[[#This Row],[Opening Stock]]+supply_chain_data[[#This Row],[Units Received]]-supply_chain_data[[#This Row],[Units Sold]]</f>
        <v>159</v>
      </c>
      <c r="M193">
        <v>159</v>
      </c>
      <c r="N193">
        <v>81</v>
      </c>
      <c r="O193" s="2">
        <v>905</v>
      </c>
      <c r="P193">
        <v>3</v>
      </c>
      <c r="Q193">
        <v>3</v>
      </c>
      <c r="R19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93" t="s">
        <v>24</v>
      </c>
      <c r="T193">
        <v>22</v>
      </c>
      <c r="U193" s="5">
        <f>MAX(0,MIN(1,1-ABS(supply_chain_data[[#This Row],[Forecast Demand]]-supply_chain_data[[#This Row],[Units Sold]])/supply_chain_data[[#This Row],[Forecast Demand]]))</f>
        <v>0.81818181818181812</v>
      </c>
      <c r="V193" s="4">
        <f>supply_chain_data[[#This Row],[Closing Stock]]/supply_chain_data[[#This Row],[Forecast Demand]]</f>
        <v>7.2272727272727275</v>
      </c>
      <c r="W193">
        <v>143895</v>
      </c>
    </row>
    <row r="194" spans="1:23" hidden="1" x14ac:dyDescent="0.35">
      <c r="A194" t="s">
        <v>28</v>
      </c>
      <c r="B194" t="s">
        <v>29</v>
      </c>
      <c r="C194" t="s">
        <v>20</v>
      </c>
      <c r="D194" t="s">
        <v>21</v>
      </c>
      <c r="E194" t="s">
        <v>27</v>
      </c>
      <c r="F194" t="s">
        <v>23</v>
      </c>
      <c r="G194" s="3">
        <v>45364</v>
      </c>
      <c r="H194">
        <v>190</v>
      </c>
      <c r="I194">
        <v>55</v>
      </c>
      <c r="J194" t="str">
        <f>IF(supply_chain_data[[#This Row],[Units Sold]]&gt;supply_chain_data[[#This Row],[Opening Stock]],"Yes","No")</f>
        <v>No</v>
      </c>
      <c r="K194">
        <v>36</v>
      </c>
      <c r="L194">
        <f>supply_chain_data[[#This Row],[Opening Stock]]+supply_chain_data[[#This Row],[Units Received]]-supply_chain_data[[#This Row],[Units Sold]]</f>
        <v>171</v>
      </c>
      <c r="M194">
        <v>171</v>
      </c>
      <c r="N194">
        <v>97</v>
      </c>
      <c r="O194" s="2">
        <v>938</v>
      </c>
      <c r="P194">
        <v>6</v>
      </c>
      <c r="Q194">
        <v>8</v>
      </c>
      <c r="R19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94" t="s">
        <v>24</v>
      </c>
      <c r="T194">
        <v>55</v>
      </c>
      <c r="U194" s="5">
        <f>MAX(0,MIN(1,1-ABS(supply_chain_data[[#This Row],[Forecast Demand]]-supply_chain_data[[#This Row],[Units Sold]])/supply_chain_data[[#This Row],[Forecast Demand]]))</f>
        <v>1</v>
      </c>
      <c r="V194" s="4">
        <f>supply_chain_data[[#This Row],[Closing Stock]]/supply_chain_data[[#This Row],[Forecast Demand]]</f>
        <v>3.1090909090909089</v>
      </c>
      <c r="W194">
        <v>160398</v>
      </c>
    </row>
    <row r="195" spans="1:23" hidden="1" x14ac:dyDescent="0.35">
      <c r="A195" t="s">
        <v>41</v>
      </c>
      <c r="B195" t="s">
        <v>42</v>
      </c>
      <c r="C195" t="s">
        <v>20</v>
      </c>
      <c r="D195" t="s">
        <v>37</v>
      </c>
      <c r="E195" t="s">
        <v>38</v>
      </c>
      <c r="F195" t="s">
        <v>23</v>
      </c>
      <c r="G195" s="3">
        <v>45365</v>
      </c>
      <c r="H195">
        <v>207</v>
      </c>
      <c r="I195">
        <v>7</v>
      </c>
      <c r="J195" t="str">
        <f>IF(supply_chain_data[[#This Row],[Units Sold]]&gt;supply_chain_data[[#This Row],[Opening Stock]],"Yes","No")</f>
        <v>No</v>
      </c>
      <c r="K195">
        <v>12</v>
      </c>
      <c r="L195">
        <f>supply_chain_data[[#This Row],[Opening Stock]]+supply_chain_data[[#This Row],[Units Received]]-supply_chain_data[[#This Row],[Units Sold]]</f>
        <v>212</v>
      </c>
      <c r="M195">
        <v>212</v>
      </c>
      <c r="N195">
        <v>47</v>
      </c>
      <c r="O195" s="2">
        <v>841</v>
      </c>
      <c r="P195">
        <v>15</v>
      </c>
      <c r="Q195">
        <v>4</v>
      </c>
      <c r="R19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95" t="s">
        <v>24</v>
      </c>
      <c r="T195">
        <v>65</v>
      </c>
      <c r="U195" s="5">
        <f>MAX(0,MIN(1,1-ABS(supply_chain_data[[#This Row],[Forecast Demand]]-supply_chain_data[[#This Row],[Units Sold]])/supply_chain_data[[#This Row],[Forecast Demand]]))</f>
        <v>0.10769230769230764</v>
      </c>
      <c r="V195" s="4">
        <f>supply_chain_data[[#This Row],[Closing Stock]]/supply_chain_data[[#This Row],[Forecast Demand]]</f>
        <v>3.2615384615384615</v>
      </c>
      <c r="W195">
        <v>178292</v>
      </c>
    </row>
    <row r="196" spans="1:23" x14ac:dyDescent="0.35">
      <c r="A196" t="s">
        <v>18</v>
      </c>
      <c r="B196" t="s">
        <v>19</v>
      </c>
      <c r="C196" t="s">
        <v>20</v>
      </c>
      <c r="D196" t="s">
        <v>31</v>
      </c>
      <c r="E196" t="s">
        <v>47</v>
      </c>
      <c r="F196" t="s">
        <v>23</v>
      </c>
      <c r="G196" s="3">
        <v>45366</v>
      </c>
      <c r="H196">
        <v>265</v>
      </c>
      <c r="I196">
        <v>47</v>
      </c>
      <c r="J196" t="str">
        <f>IF(supply_chain_data[[#This Row],[Units Sold]]&gt;supply_chain_data[[#This Row],[Opening Stock]],"Yes","No")</f>
        <v>No</v>
      </c>
      <c r="K196">
        <v>72</v>
      </c>
      <c r="L196">
        <f>supply_chain_data[[#This Row],[Opening Stock]]+supply_chain_data[[#This Row],[Units Received]]-supply_chain_data[[#This Row],[Units Sold]]</f>
        <v>290</v>
      </c>
      <c r="M196">
        <v>290</v>
      </c>
      <c r="N196">
        <v>99</v>
      </c>
      <c r="O196" s="2">
        <v>1294</v>
      </c>
      <c r="P196">
        <v>2</v>
      </c>
      <c r="Q196">
        <v>8</v>
      </c>
      <c r="R19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96" t="s">
        <v>24</v>
      </c>
      <c r="T196">
        <v>40</v>
      </c>
      <c r="U196" s="5">
        <f>MAX(0,MIN(1,1-ABS(supply_chain_data[[#This Row],[Forecast Demand]]-supply_chain_data[[#This Row],[Units Sold]])/supply_chain_data[[#This Row],[Forecast Demand]]))</f>
        <v>0.82499999999999996</v>
      </c>
      <c r="V196" s="4">
        <f>supply_chain_data[[#This Row],[Closing Stock]]/supply_chain_data[[#This Row],[Forecast Demand]]</f>
        <v>7.25</v>
      </c>
      <c r="W196">
        <v>375260</v>
      </c>
    </row>
    <row r="197" spans="1:23" hidden="1" x14ac:dyDescent="0.35">
      <c r="A197" t="s">
        <v>34</v>
      </c>
      <c r="B197" t="s">
        <v>35</v>
      </c>
      <c r="C197" t="s">
        <v>20</v>
      </c>
      <c r="D197" t="s">
        <v>39</v>
      </c>
      <c r="E197" t="s">
        <v>45</v>
      </c>
      <c r="F197" t="s">
        <v>23</v>
      </c>
      <c r="G197" s="3">
        <v>45367</v>
      </c>
      <c r="H197">
        <v>86</v>
      </c>
      <c r="I197">
        <v>40</v>
      </c>
      <c r="J197" t="str">
        <f>IF(supply_chain_data[[#This Row],[Units Sold]]&gt;supply_chain_data[[#This Row],[Opening Stock]],"Yes","No")</f>
        <v>No</v>
      </c>
      <c r="K197">
        <v>45</v>
      </c>
      <c r="L197">
        <f>supply_chain_data[[#This Row],[Opening Stock]]+supply_chain_data[[#This Row],[Units Received]]-supply_chain_data[[#This Row],[Units Sold]]</f>
        <v>91</v>
      </c>
      <c r="M197">
        <v>91</v>
      </c>
      <c r="N197">
        <v>50</v>
      </c>
      <c r="O197" s="2">
        <v>1346</v>
      </c>
      <c r="P197">
        <v>4</v>
      </c>
      <c r="Q197">
        <v>5</v>
      </c>
      <c r="R19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197" t="s">
        <v>24</v>
      </c>
      <c r="T197">
        <v>47</v>
      </c>
      <c r="U197" s="5">
        <f>MAX(0,MIN(1,1-ABS(supply_chain_data[[#This Row],[Forecast Demand]]-supply_chain_data[[#This Row],[Units Sold]])/supply_chain_data[[#This Row],[Forecast Demand]]))</f>
        <v>0.85106382978723405</v>
      </c>
      <c r="V197" s="4">
        <f>supply_chain_data[[#This Row],[Closing Stock]]/supply_chain_data[[#This Row],[Forecast Demand]]</f>
        <v>1.9361702127659575</v>
      </c>
      <c r="W197">
        <v>122486</v>
      </c>
    </row>
    <row r="198" spans="1:23" hidden="1" x14ac:dyDescent="0.35">
      <c r="A198" t="s">
        <v>34</v>
      </c>
      <c r="B198" t="s">
        <v>35</v>
      </c>
      <c r="C198" t="s">
        <v>20</v>
      </c>
      <c r="D198" t="s">
        <v>39</v>
      </c>
      <c r="E198" t="s">
        <v>40</v>
      </c>
      <c r="F198" t="s">
        <v>30</v>
      </c>
      <c r="G198" s="3">
        <v>45368</v>
      </c>
      <c r="H198">
        <v>81</v>
      </c>
      <c r="I198">
        <v>19</v>
      </c>
      <c r="J198" t="str">
        <f>IF(supply_chain_data[[#This Row],[Units Sold]]&gt;supply_chain_data[[#This Row],[Opening Stock]],"Yes","No")</f>
        <v>No</v>
      </c>
      <c r="K198">
        <v>17</v>
      </c>
      <c r="L198">
        <f>supply_chain_data[[#This Row],[Opening Stock]]+supply_chain_data[[#This Row],[Units Received]]-supply_chain_data[[#This Row],[Units Sold]]</f>
        <v>79</v>
      </c>
      <c r="M198">
        <v>79</v>
      </c>
      <c r="N198">
        <v>58</v>
      </c>
      <c r="O198" s="2">
        <v>1198</v>
      </c>
      <c r="P198">
        <v>6</v>
      </c>
      <c r="Q198">
        <v>2</v>
      </c>
      <c r="R19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198" t="s">
        <v>24</v>
      </c>
      <c r="T198">
        <v>26</v>
      </c>
      <c r="U198" s="5">
        <f>MAX(0,MIN(1,1-ABS(supply_chain_data[[#This Row],[Forecast Demand]]-supply_chain_data[[#This Row],[Units Sold]])/supply_chain_data[[#This Row],[Forecast Demand]]))</f>
        <v>0.73076923076923084</v>
      </c>
      <c r="V198" s="4">
        <f>supply_chain_data[[#This Row],[Closing Stock]]/supply_chain_data[[#This Row],[Forecast Demand]]</f>
        <v>3.0384615384615383</v>
      </c>
      <c r="W198">
        <v>94642</v>
      </c>
    </row>
    <row r="199" spans="1:23" x14ac:dyDescent="0.35">
      <c r="A199" t="s">
        <v>25</v>
      </c>
      <c r="B199" t="s">
        <v>26</v>
      </c>
      <c r="C199" t="s">
        <v>20</v>
      </c>
      <c r="D199" t="s">
        <v>37</v>
      </c>
      <c r="E199" t="s">
        <v>46</v>
      </c>
      <c r="F199" t="s">
        <v>23</v>
      </c>
      <c r="G199" s="3">
        <v>45369</v>
      </c>
      <c r="H199">
        <v>120</v>
      </c>
      <c r="I199">
        <v>38</v>
      </c>
      <c r="J199" t="str">
        <f>IF(supply_chain_data[[#This Row],[Units Sold]]&gt;supply_chain_data[[#This Row],[Opening Stock]],"Yes","No")</f>
        <v>No</v>
      </c>
      <c r="K199">
        <v>10</v>
      </c>
      <c r="L199">
        <f>supply_chain_data[[#This Row],[Opening Stock]]+supply_chain_data[[#This Row],[Units Received]]-supply_chain_data[[#This Row],[Units Sold]]</f>
        <v>92</v>
      </c>
      <c r="M199">
        <v>92</v>
      </c>
      <c r="N199">
        <v>89</v>
      </c>
      <c r="O199" s="2">
        <v>148</v>
      </c>
      <c r="P199">
        <v>13</v>
      </c>
      <c r="Q199">
        <v>2</v>
      </c>
      <c r="R19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199" t="s">
        <v>24</v>
      </c>
      <c r="T199">
        <v>13</v>
      </c>
      <c r="U199" s="5">
        <f>MAX(0,MIN(1,1-ABS(supply_chain_data[[#This Row],[Forecast Demand]]-supply_chain_data[[#This Row],[Units Sold]])/supply_chain_data[[#This Row],[Forecast Demand]]))</f>
        <v>0</v>
      </c>
      <c r="V199" s="4">
        <f>supply_chain_data[[#This Row],[Closing Stock]]/supply_chain_data[[#This Row],[Forecast Demand]]</f>
        <v>7.0769230769230766</v>
      </c>
      <c r="W199">
        <v>13616</v>
      </c>
    </row>
    <row r="200" spans="1:23" x14ac:dyDescent="0.35">
      <c r="A200" t="s">
        <v>18</v>
      </c>
      <c r="B200" t="s">
        <v>19</v>
      </c>
      <c r="C200" t="s">
        <v>20</v>
      </c>
      <c r="D200" t="s">
        <v>39</v>
      </c>
      <c r="E200" t="s">
        <v>40</v>
      </c>
      <c r="F200" t="s">
        <v>23</v>
      </c>
      <c r="G200" s="3">
        <v>45370</v>
      </c>
      <c r="H200">
        <v>223</v>
      </c>
      <c r="I200">
        <v>56</v>
      </c>
      <c r="J200" t="str">
        <f>IF(supply_chain_data[[#This Row],[Units Sold]]&gt;supply_chain_data[[#This Row],[Opening Stock]],"Yes","No")</f>
        <v>No</v>
      </c>
      <c r="K200">
        <v>78</v>
      </c>
      <c r="L200">
        <f>supply_chain_data[[#This Row],[Opening Stock]]+supply_chain_data[[#This Row],[Units Received]]-supply_chain_data[[#This Row],[Units Sold]]</f>
        <v>245</v>
      </c>
      <c r="M200">
        <v>245</v>
      </c>
      <c r="N200">
        <v>96</v>
      </c>
      <c r="O200" s="2">
        <v>652</v>
      </c>
      <c r="P200">
        <v>3</v>
      </c>
      <c r="Q200">
        <v>5</v>
      </c>
      <c r="R20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00" t="s">
        <v>24</v>
      </c>
      <c r="T200">
        <v>55</v>
      </c>
      <c r="U200" s="5">
        <f>MAX(0,MIN(1,1-ABS(supply_chain_data[[#This Row],[Forecast Demand]]-supply_chain_data[[#This Row],[Units Sold]])/supply_chain_data[[#This Row],[Forecast Demand]]))</f>
        <v>0.98181818181818181</v>
      </c>
      <c r="V200" s="4">
        <f>supply_chain_data[[#This Row],[Closing Stock]]/supply_chain_data[[#This Row],[Forecast Demand]]</f>
        <v>4.4545454545454541</v>
      </c>
      <c r="W200">
        <v>159740</v>
      </c>
    </row>
    <row r="201" spans="1:23" hidden="1" x14ac:dyDescent="0.35">
      <c r="A201" t="s">
        <v>25</v>
      </c>
      <c r="B201" t="s">
        <v>26</v>
      </c>
      <c r="C201" t="s">
        <v>20</v>
      </c>
      <c r="D201" t="s">
        <v>43</v>
      </c>
      <c r="E201" t="s">
        <v>48</v>
      </c>
      <c r="F201" t="s">
        <v>33</v>
      </c>
      <c r="G201" s="3">
        <v>45371</v>
      </c>
      <c r="H201">
        <v>80</v>
      </c>
      <c r="I201">
        <v>13</v>
      </c>
      <c r="J201" t="str">
        <f>IF(supply_chain_data[[#This Row],[Units Sold]]&gt;supply_chain_data[[#This Row],[Opening Stock]],"Yes","No")</f>
        <v>No</v>
      </c>
      <c r="K201">
        <v>1</v>
      </c>
      <c r="L201">
        <f>supply_chain_data[[#This Row],[Opening Stock]]+supply_chain_data[[#This Row],[Units Received]]-supply_chain_data[[#This Row],[Units Sold]]</f>
        <v>68</v>
      </c>
      <c r="M201">
        <v>68</v>
      </c>
      <c r="N201">
        <v>59</v>
      </c>
      <c r="O201" s="2">
        <v>293</v>
      </c>
      <c r="P201">
        <v>8</v>
      </c>
      <c r="Q201">
        <v>8</v>
      </c>
      <c r="R20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201" t="s">
        <v>24</v>
      </c>
      <c r="T201">
        <v>49</v>
      </c>
      <c r="U201" s="5">
        <f>MAX(0,MIN(1,1-ABS(supply_chain_data[[#This Row],[Forecast Demand]]-supply_chain_data[[#This Row],[Units Sold]])/supply_chain_data[[#This Row],[Forecast Demand]]))</f>
        <v>0.26530612244897955</v>
      </c>
      <c r="V201" s="4">
        <f>supply_chain_data[[#This Row],[Closing Stock]]/supply_chain_data[[#This Row],[Forecast Demand]]</f>
        <v>1.3877551020408163</v>
      </c>
      <c r="W201">
        <v>19924</v>
      </c>
    </row>
    <row r="202" spans="1:23" x14ac:dyDescent="0.35">
      <c r="A202" t="s">
        <v>41</v>
      </c>
      <c r="B202" t="s">
        <v>42</v>
      </c>
      <c r="C202" t="s">
        <v>20</v>
      </c>
      <c r="D202" t="s">
        <v>39</v>
      </c>
      <c r="E202" t="s">
        <v>45</v>
      </c>
      <c r="F202" t="s">
        <v>30</v>
      </c>
      <c r="G202" s="3">
        <v>45372</v>
      </c>
      <c r="H202">
        <v>242</v>
      </c>
      <c r="I202">
        <v>14</v>
      </c>
      <c r="J202" t="str">
        <f>IF(supply_chain_data[[#This Row],[Units Sold]]&gt;supply_chain_data[[#This Row],[Opening Stock]],"Yes","No")</f>
        <v>No</v>
      </c>
      <c r="K202">
        <v>48</v>
      </c>
      <c r="L202">
        <f>supply_chain_data[[#This Row],[Opening Stock]]+supply_chain_data[[#This Row],[Units Received]]-supply_chain_data[[#This Row],[Units Sold]]</f>
        <v>276</v>
      </c>
      <c r="M202">
        <v>276</v>
      </c>
      <c r="N202">
        <v>94</v>
      </c>
      <c r="O202" s="2">
        <v>1333</v>
      </c>
      <c r="P202">
        <v>13</v>
      </c>
      <c r="Q202">
        <v>10</v>
      </c>
      <c r="R20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02" t="s">
        <v>24</v>
      </c>
      <c r="T202">
        <v>61</v>
      </c>
      <c r="U202" s="5">
        <f>MAX(0,MIN(1,1-ABS(supply_chain_data[[#This Row],[Forecast Demand]]-supply_chain_data[[#This Row],[Units Sold]])/supply_chain_data[[#This Row],[Forecast Demand]]))</f>
        <v>0.22950819672131151</v>
      </c>
      <c r="V202" s="4">
        <f>supply_chain_data[[#This Row],[Closing Stock]]/supply_chain_data[[#This Row],[Forecast Demand]]</f>
        <v>4.5245901639344259</v>
      </c>
      <c r="W202">
        <v>367908</v>
      </c>
    </row>
    <row r="203" spans="1:23" x14ac:dyDescent="0.35">
      <c r="A203" t="s">
        <v>25</v>
      </c>
      <c r="B203" t="s">
        <v>26</v>
      </c>
      <c r="C203" t="s">
        <v>20</v>
      </c>
      <c r="D203" t="s">
        <v>37</v>
      </c>
      <c r="E203" t="s">
        <v>46</v>
      </c>
      <c r="F203" t="s">
        <v>30</v>
      </c>
      <c r="G203" s="3">
        <v>45373</v>
      </c>
      <c r="H203">
        <v>221</v>
      </c>
      <c r="I203">
        <v>33</v>
      </c>
      <c r="J203" t="str">
        <f>IF(supply_chain_data[[#This Row],[Units Sold]]&gt;supply_chain_data[[#This Row],[Opening Stock]],"Yes","No")</f>
        <v>No</v>
      </c>
      <c r="K203">
        <v>8</v>
      </c>
      <c r="L203">
        <f>supply_chain_data[[#This Row],[Opening Stock]]+supply_chain_data[[#This Row],[Units Received]]-supply_chain_data[[#This Row],[Units Sold]]</f>
        <v>196</v>
      </c>
      <c r="M203">
        <v>196</v>
      </c>
      <c r="N203">
        <v>58</v>
      </c>
      <c r="O203" s="2">
        <v>770</v>
      </c>
      <c r="P203">
        <v>6</v>
      </c>
      <c r="Q203">
        <v>9</v>
      </c>
      <c r="R20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03" t="s">
        <v>24</v>
      </c>
      <c r="T203">
        <v>37</v>
      </c>
      <c r="U203" s="5">
        <f>MAX(0,MIN(1,1-ABS(supply_chain_data[[#This Row],[Forecast Demand]]-supply_chain_data[[#This Row],[Units Sold]])/supply_chain_data[[#This Row],[Forecast Demand]]))</f>
        <v>0.89189189189189189</v>
      </c>
      <c r="V203" s="4">
        <f>supply_chain_data[[#This Row],[Closing Stock]]/supply_chain_data[[#This Row],[Forecast Demand]]</f>
        <v>5.2972972972972974</v>
      </c>
      <c r="W203">
        <v>150920</v>
      </c>
    </row>
    <row r="204" spans="1:23" x14ac:dyDescent="0.35">
      <c r="A204" t="s">
        <v>18</v>
      </c>
      <c r="B204" t="s">
        <v>19</v>
      </c>
      <c r="C204" t="s">
        <v>20</v>
      </c>
      <c r="D204" t="s">
        <v>21</v>
      </c>
      <c r="E204" t="s">
        <v>27</v>
      </c>
      <c r="F204" t="s">
        <v>30</v>
      </c>
      <c r="G204" s="3">
        <v>45374</v>
      </c>
      <c r="H204">
        <v>241</v>
      </c>
      <c r="I204">
        <v>49</v>
      </c>
      <c r="J204" t="str">
        <f>IF(supply_chain_data[[#This Row],[Units Sold]]&gt;supply_chain_data[[#This Row],[Opening Stock]],"Yes","No")</f>
        <v>No</v>
      </c>
      <c r="K204">
        <v>57</v>
      </c>
      <c r="L204">
        <f>supply_chain_data[[#This Row],[Opening Stock]]+supply_chain_data[[#This Row],[Units Received]]-supply_chain_data[[#This Row],[Units Sold]]</f>
        <v>249</v>
      </c>
      <c r="M204">
        <v>249</v>
      </c>
      <c r="N204">
        <v>93</v>
      </c>
      <c r="O204" s="2">
        <v>237</v>
      </c>
      <c r="P204">
        <v>7</v>
      </c>
      <c r="Q204">
        <v>9</v>
      </c>
      <c r="R20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04" t="s">
        <v>24</v>
      </c>
      <c r="T204">
        <v>27</v>
      </c>
      <c r="U204" s="5">
        <f>MAX(0,MIN(1,1-ABS(supply_chain_data[[#This Row],[Forecast Demand]]-supply_chain_data[[#This Row],[Units Sold]])/supply_chain_data[[#This Row],[Forecast Demand]]))</f>
        <v>0.18518518518518523</v>
      </c>
      <c r="V204" s="4">
        <f>supply_chain_data[[#This Row],[Closing Stock]]/supply_chain_data[[#This Row],[Forecast Demand]]</f>
        <v>9.2222222222222214</v>
      </c>
      <c r="W204">
        <v>59013</v>
      </c>
    </row>
    <row r="205" spans="1:23" x14ac:dyDescent="0.35">
      <c r="A205" t="s">
        <v>28</v>
      </c>
      <c r="B205" t="s">
        <v>29</v>
      </c>
      <c r="C205" t="s">
        <v>20</v>
      </c>
      <c r="D205" t="s">
        <v>31</v>
      </c>
      <c r="E205" t="s">
        <v>47</v>
      </c>
      <c r="F205" t="s">
        <v>23</v>
      </c>
      <c r="G205" s="3">
        <v>45375</v>
      </c>
      <c r="H205">
        <v>297</v>
      </c>
      <c r="I205">
        <v>11</v>
      </c>
      <c r="J205" t="str">
        <f>IF(supply_chain_data[[#This Row],[Units Sold]]&gt;supply_chain_data[[#This Row],[Opening Stock]],"Yes","No")</f>
        <v>No</v>
      </c>
      <c r="K205">
        <v>23</v>
      </c>
      <c r="L205">
        <f>supply_chain_data[[#This Row],[Opening Stock]]+supply_chain_data[[#This Row],[Units Received]]-supply_chain_data[[#This Row],[Units Sold]]</f>
        <v>309</v>
      </c>
      <c r="M205">
        <v>309</v>
      </c>
      <c r="N205">
        <v>60</v>
      </c>
      <c r="O205" s="2">
        <v>857</v>
      </c>
      <c r="P205">
        <v>3</v>
      </c>
      <c r="Q205">
        <v>7</v>
      </c>
      <c r="R20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05" t="s">
        <v>24</v>
      </c>
      <c r="T205">
        <v>62</v>
      </c>
      <c r="U205" s="5">
        <f>MAX(0,MIN(1,1-ABS(supply_chain_data[[#This Row],[Forecast Demand]]-supply_chain_data[[#This Row],[Units Sold]])/supply_chain_data[[#This Row],[Forecast Demand]]))</f>
        <v>0.17741935483870963</v>
      </c>
      <c r="V205" s="4">
        <f>supply_chain_data[[#This Row],[Closing Stock]]/supply_chain_data[[#This Row],[Forecast Demand]]</f>
        <v>4.9838709677419351</v>
      </c>
      <c r="W205">
        <v>264813</v>
      </c>
    </row>
    <row r="206" spans="1:23" x14ac:dyDescent="0.35">
      <c r="A206" t="s">
        <v>28</v>
      </c>
      <c r="B206" t="s">
        <v>29</v>
      </c>
      <c r="C206" t="s">
        <v>20</v>
      </c>
      <c r="D206" t="s">
        <v>31</v>
      </c>
      <c r="E206" t="s">
        <v>32</v>
      </c>
      <c r="F206" t="s">
        <v>23</v>
      </c>
      <c r="G206" s="3">
        <v>45376</v>
      </c>
      <c r="H206">
        <v>255</v>
      </c>
      <c r="I206">
        <v>52</v>
      </c>
      <c r="J206" t="str">
        <f>IF(supply_chain_data[[#This Row],[Units Sold]]&gt;supply_chain_data[[#This Row],[Opening Stock]],"Yes","No")</f>
        <v>No</v>
      </c>
      <c r="K206">
        <v>40</v>
      </c>
      <c r="L206">
        <f>supply_chain_data[[#This Row],[Opening Stock]]+supply_chain_data[[#This Row],[Units Received]]-supply_chain_data[[#This Row],[Units Sold]]</f>
        <v>243</v>
      </c>
      <c r="M206">
        <v>243</v>
      </c>
      <c r="N206">
        <v>52</v>
      </c>
      <c r="O206" s="2">
        <v>1190</v>
      </c>
      <c r="P206">
        <v>14</v>
      </c>
      <c r="Q206">
        <v>1</v>
      </c>
      <c r="R20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06" t="s">
        <v>24</v>
      </c>
      <c r="T206">
        <v>11</v>
      </c>
      <c r="U206" s="5">
        <f>MAX(0,MIN(1,1-ABS(supply_chain_data[[#This Row],[Forecast Demand]]-supply_chain_data[[#This Row],[Units Sold]])/supply_chain_data[[#This Row],[Forecast Demand]]))</f>
        <v>0</v>
      </c>
      <c r="V206" s="4">
        <f>supply_chain_data[[#This Row],[Closing Stock]]/supply_chain_data[[#This Row],[Forecast Demand]]</f>
        <v>22.09090909090909</v>
      </c>
      <c r="W206">
        <v>289170</v>
      </c>
    </row>
    <row r="207" spans="1:23" hidden="1" x14ac:dyDescent="0.35">
      <c r="A207" t="s">
        <v>28</v>
      </c>
      <c r="B207" t="s">
        <v>29</v>
      </c>
      <c r="C207" t="s">
        <v>20</v>
      </c>
      <c r="D207" t="s">
        <v>31</v>
      </c>
      <c r="E207" t="s">
        <v>32</v>
      </c>
      <c r="F207" t="s">
        <v>33</v>
      </c>
      <c r="G207" s="3">
        <v>45377</v>
      </c>
      <c r="H207">
        <v>126</v>
      </c>
      <c r="I207">
        <v>42</v>
      </c>
      <c r="J207" t="str">
        <f>IF(supply_chain_data[[#This Row],[Units Sold]]&gt;supply_chain_data[[#This Row],[Opening Stock]],"Yes","No")</f>
        <v>No</v>
      </c>
      <c r="K207">
        <v>44</v>
      </c>
      <c r="L207">
        <f>supply_chain_data[[#This Row],[Opening Stock]]+supply_chain_data[[#This Row],[Units Received]]-supply_chain_data[[#This Row],[Units Sold]]</f>
        <v>128</v>
      </c>
      <c r="M207">
        <v>128</v>
      </c>
      <c r="N207">
        <v>78</v>
      </c>
      <c r="O207" s="2">
        <v>738</v>
      </c>
      <c r="P207">
        <v>7</v>
      </c>
      <c r="Q207">
        <v>0</v>
      </c>
      <c r="R20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07" t="s">
        <v>24</v>
      </c>
      <c r="T207">
        <v>33</v>
      </c>
      <c r="U207" s="5">
        <f>MAX(0,MIN(1,1-ABS(supply_chain_data[[#This Row],[Forecast Demand]]-supply_chain_data[[#This Row],[Units Sold]])/supply_chain_data[[#This Row],[Forecast Demand]]))</f>
        <v>0.72727272727272729</v>
      </c>
      <c r="V207" s="4">
        <f>supply_chain_data[[#This Row],[Closing Stock]]/supply_chain_data[[#This Row],[Forecast Demand]]</f>
        <v>3.8787878787878789</v>
      </c>
      <c r="W207">
        <v>94464</v>
      </c>
    </row>
    <row r="208" spans="1:23" x14ac:dyDescent="0.35">
      <c r="A208" t="s">
        <v>25</v>
      </c>
      <c r="B208" t="s">
        <v>26</v>
      </c>
      <c r="C208" t="s">
        <v>20</v>
      </c>
      <c r="D208" t="s">
        <v>39</v>
      </c>
      <c r="E208" t="s">
        <v>40</v>
      </c>
      <c r="F208" t="s">
        <v>23</v>
      </c>
      <c r="G208" s="3">
        <v>45378</v>
      </c>
      <c r="H208">
        <v>234</v>
      </c>
      <c r="I208">
        <v>21</v>
      </c>
      <c r="J208" t="str">
        <f>IF(supply_chain_data[[#This Row],[Units Sold]]&gt;supply_chain_data[[#This Row],[Opening Stock]],"Yes","No")</f>
        <v>No</v>
      </c>
      <c r="K208">
        <v>26</v>
      </c>
      <c r="L208">
        <f>supply_chain_data[[#This Row],[Opening Stock]]+supply_chain_data[[#This Row],[Units Received]]-supply_chain_data[[#This Row],[Units Sold]]</f>
        <v>239</v>
      </c>
      <c r="M208">
        <v>239</v>
      </c>
      <c r="N208">
        <v>83</v>
      </c>
      <c r="O208" s="2">
        <v>341</v>
      </c>
      <c r="P208">
        <v>5</v>
      </c>
      <c r="Q208">
        <v>5</v>
      </c>
      <c r="R20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08" t="s">
        <v>24</v>
      </c>
      <c r="T208">
        <v>28</v>
      </c>
      <c r="U208" s="5">
        <f>MAX(0,MIN(1,1-ABS(supply_chain_data[[#This Row],[Forecast Demand]]-supply_chain_data[[#This Row],[Units Sold]])/supply_chain_data[[#This Row],[Forecast Demand]]))</f>
        <v>0.75</v>
      </c>
      <c r="V208" s="4">
        <f>supply_chain_data[[#This Row],[Closing Stock]]/supply_chain_data[[#This Row],[Forecast Demand]]</f>
        <v>8.5357142857142865</v>
      </c>
      <c r="W208">
        <v>81499</v>
      </c>
    </row>
    <row r="209" spans="1:23" x14ac:dyDescent="0.35">
      <c r="A209" t="s">
        <v>41</v>
      </c>
      <c r="B209" t="s">
        <v>42</v>
      </c>
      <c r="C209" t="s">
        <v>20</v>
      </c>
      <c r="D209" t="s">
        <v>39</v>
      </c>
      <c r="E209" t="s">
        <v>45</v>
      </c>
      <c r="F209" t="s">
        <v>33</v>
      </c>
      <c r="G209" s="3">
        <v>45379</v>
      </c>
      <c r="H209">
        <v>153</v>
      </c>
      <c r="I209">
        <v>41</v>
      </c>
      <c r="J209" t="str">
        <f>IF(supply_chain_data[[#This Row],[Units Sold]]&gt;supply_chain_data[[#This Row],[Opening Stock]],"Yes","No")</f>
        <v>No</v>
      </c>
      <c r="K209">
        <v>9</v>
      </c>
      <c r="L209">
        <f>supply_chain_data[[#This Row],[Opening Stock]]+supply_chain_data[[#This Row],[Units Received]]-supply_chain_data[[#This Row],[Units Sold]]</f>
        <v>121</v>
      </c>
      <c r="M209">
        <v>121</v>
      </c>
      <c r="N209">
        <v>54</v>
      </c>
      <c r="O209" s="2">
        <v>960</v>
      </c>
      <c r="P209">
        <v>13</v>
      </c>
      <c r="Q209">
        <v>6</v>
      </c>
      <c r="R20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09" t="s">
        <v>24</v>
      </c>
      <c r="T209">
        <v>15</v>
      </c>
      <c r="U209" s="5">
        <f>MAX(0,MIN(1,1-ABS(supply_chain_data[[#This Row],[Forecast Demand]]-supply_chain_data[[#This Row],[Units Sold]])/supply_chain_data[[#This Row],[Forecast Demand]]))</f>
        <v>0</v>
      </c>
      <c r="V209" s="4">
        <f>supply_chain_data[[#This Row],[Closing Stock]]/supply_chain_data[[#This Row],[Forecast Demand]]</f>
        <v>8.0666666666666664</v>
      </c>
      <c r="W209">
        <v>116160</v>
      </c>
    </row>
    <row r="210" spans="1:23" hidden="1" x14ac:dyDescent="0.35">
      <c r="A210" t="s">
        <v>25</v>
      </c>
      <c r="B210" t="s">
        <v>26</v>
      </c>
      <c r="C210" t="s">
        <v>20</v>
      </c>
      <c r="D210" t="s">
        <v>31</v>
      </c>
      <c r="E210" t="s">
        <v>32</v>
      </c>
      <c r="F210" t="s">
        <v>23</v>
      </c>
      <c r="G210" s="3">
        <v>45380</v>
      </c>
      <c r="H210">
        <v>80</v>
      </c>
      <c r="I210">
        <v>53</v>
      </c>
      <c r="J210" t="str">
        <f>IF(supply_chain_data[[#This Row],[Units Sold]]&gt;supply_chain_data[[#This Row],[Opening Stock]],"Yes","No")</f>
        <v>No</v>
      </c>
      <c r="K210">
        <v>39</v>
      </c>
      <c r="L210">
        <f>supply_chain_data[[#This Row],[Opening Stock]]+supply_chain_data[[#This Row],[Units Received]]-supply_chain_data[[#This Row],[Units Sold]]</f>
        <v>66</v>
      </c>
      <c r="M210">
        <v>66</v>
      </c>
      <c r="N210">
        <v>81</v>
      </c>
      <c r="O210" s="2">
        <v>115</v>
      </c>
      <c r="P210">
        <v>10</v>
      </c>
      <c r="Q210">
        <v>7</v>
      </c>
      <c r="R21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210" t="s">
        <v>36</v>
      </c>
      <c r="T210">
        <v>56</v>
      </c>
      <c r="U210" s="5">
        <f>MAX(0,MIN(1,1-ABS(supply_chain_data[[#This Row],[Forecast Demand]]-supply_chain_data[[#This Row],[Units Sold]])/supply_chain_data[[#This Row],[Forecast Demand]]))</f>
        <v>0.9464285714285714</v>
      </c>
      <c r="V210" s="4">
        <f>supply_chain_data[[#This Row],[Closing Stock]]/supply_chain_data[[#This Row],[Forecast Demand]]</f>
        <v>1.1785714285714286</v>
      </c>
      <c r="W210">
        <v>7590</v>
      </c>
    </row>
    <row r="211" spans="1:23" x14ac:dyDescent="0.35">
      <c r="A211" t="s">
        <v>34</v>
      </c>
      <c r="B211" t="s">
        <v>35</v>
      </c>
      <c r="C211" t="s">
        <v>20</v>
      </c>
      <c r="D211" t="s">
        <v>37</v>
      </c>
      <c r="E211" t="s">
        <v>38</v>
      </c>
      <c r="F211" t="s">
        <v>23</v>
      </c>
      <c r="G211" s="3">
        <v>45381</v>
      </c>
      <c r="H211">
        <v>281</v>
      </c>
      <c r="I211">
        <v>59</v>
      </c>
      <c r="J211" t="str">
        <f>IF(supply_chain_data[[#This Row],[Units Sold]]&gt;supply_chain_data[[#This Row],[Opening Stock]],"Yes","No")</f>
        <v>No</v>
      </c>
      <c r="K211">
        <v>60</v>
      </c>
      <c r="L211">
        <f>supply_chain_data[[#This Row],[Opening Stock]]+supply_chain_data[[#This Row],[Units Received]]-supply_chain_data[[#This Row],[Units Sold]]</f>
        <v>282</v>
      </c>
      <c r="M211">
        <v>282</v>
      </c>
      <c r="N211">
        <v>55</v>
      </c>
      <c r="O211" s="2">
        <v>670</v>
      </c>
      <c r="P211">
        <v>10</v>
      </c>
      <c r="Q211">
        <v>9</v>
      </c>
      <c r="R21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11" t="s">
        <v>24</v>
      </c>
      <c r="T211">
        <v>32</v>
      </c>
      <c r="U211" s="5">
        <f>MAX(0,MIN(1,1-ABS(supply_chain_data[[#This Row],[Forecast Demand]]-supply_chain_data[[#This Row],[Units Sold]])/supply_chain_data[[#This Row],[Forecast Demand]]))</f>
        <v>0.15625</v>
      </c>
      <c r="V211" s="4">
        <f>supply_chain_data[[#This Row],[Closing Stock]]/supply_chain_data[[#This Row],[Forecast Demand]]</f>
        <v>8.8125</v>
      </c>
      <c r="W211">
        <v>188940</v>
      </c>
    </row>
    <row r="212" spans="1:23" x14ac:dyDescent="0.35">
      <c r="A212" t="s">
        <v>25</v>
      </c>
      <c r="B212" t="s">
        <v>26</v>
      </c>
      <c r="C212" t="s">
        <v>20</v>
      </c>
      <c r="D212" t="s">
        <v>31</v>
      </c>
      <c r="E212" t="s">
        <v>47</v>
      </c>
      <c r="F212" t="s">
        <v>33</v>
      </c>
      <c r="G212" s="3">
        <v>45382</v>
      </c>
      <c r="H212">
        <v>274</v>
      </c>
      <c r="I212">
        <v>11</v>
      </c>
      <c r="J212" t="str">
        <f>IF(supply_chain_data[[#This Row],[Units Sold]]&gt;supply_chain_data[[#This Row],[Opening Stock]],"Yes","No")</f>
        <v>No</v>
      </c>
      <c r="K212">
        <v>8</v>
      </c>
      <c r="L212">
        <f>supply_chain_data[[#This Row],[Opening Stock]]+supply_chain_data[[#This Row],[Units Received]]-supply_chain_data[[#This Row],[Units Sold]]</f>
        <v>271</v>
      </c>
      <c r="M212">
        <v>271</v>
      </c>
      <c r="N212">
        <v>92</v>
      </c>
      <c r="O212" s="2">
        <v>1219</v>
      </c>
      <c r="P212">
        <v>4</v>
      </c>
      <c r="Q212">
        <v>9</v>
      </c>
      <c r="R21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12" t="s">
        <v>24</v>
      </c>
      <c r="T212">
        <v>19</v>
      </c>
      <c r="U212" s="5">
        <f>MAX(0,MIN(1,1-ABS(supply_chain_data[[#This Row],[Forecast Demand]]-supply_chain_data[[#This Row],[Units Sold]])/supply_chain_data[[#This Row],[Forecast Demand]]))</f>
        <v>0.57894736842105265</v>
      </c>
      <c r="V212" s="4">
        <f>supply_chain_data[[#This Row],[Closing Stock]]/supply_chain_data[[#This Row],[Forecast Demand]]</f>
        <v>14.263157894736842</v>
      </c>
      <c r="W212">
        <v>330349</v>
      </c>
    </row>
    <row r="213" spans="1:23" x14ac:dyDescent="0.35">
      <c r="A213" t="s">
        <v>25</v>
      </c>
      <c r="B213" t="s">
        <v>26</v>
      </c>
      <c r="C213" t="s">
        <v>20</v>
      </c>
      <c r="D213" t="s">
        <v>37</v>
      </c>
      <c r="E213" t="s">
        <v>46</v>
      </c>
      <c r="F213" t="s">
        <v>33</v>
      </c>
      <c r="G213" s="3">
        <v>45383</v>
      </c>
      <c r="H213">
        <v>234</v>
      </c>
      <c r="I213">
        <v>28</v>
      </c>
      <c r="J213" t="str">
        <f>IF(supply_chain_data[[#This Row],[Units Sold]]&gt;supply_chain_data[[#This Row],[Opening Stock]],"Yes","No")</f>
        <v>No</v>
      </c>
      <c r="K213">
        <v>6</v>
      </c>
      <c r="L213">
        <f>supply_chain_data[[#This Row],[Opening Stock]]+supply_chain_data[[#This Row],[Units Received]]-supply_chain_data[[#This Row],[Units Sold]]</f>
        <v>212</v>
      </c>
      <c r="M213">
        <v>212</v>
      </c>
      <c r="N213">
        <v>73</v>
      </c>
      <c r="O213" s="2">
        <v>680</v>
      </c>
      <c r="P213">
        <v>15</v>
      </c>
      <c r="Q213">
        <v>4</v>
      </c>
      <c r="R21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13" t="s">
        <v>24</v>
      </c>
      <c r="T213">
        <v>51</v>
      </c>
      <c r="U213" s="5">
        <f>MAX(0,MIN(1,1-ABS(supply_chain_data[[#This Row],[Forecast Demand]]-supply_chain_data[[#This Row],[Units Sold]])/supply_chain_data[[#This Row],[Forecast Demand]]))</f>
        <v>0.5490196078431373</v>
      </c>
      <c r="V213" s="4">
        <f>supply_chain_data[[#This Row],[Closing Stock]]/supply_chain_data[[#This Row],[Forecast Demand]]</f>
        <v>4.1568627450980395</v>
      </c>
      <c r="W213">
        <v>144160</v>
      </c>
    </row>
    <row r="214" spans="1:23" x14ac:dyDescent="0.35">
      <c r="A214" t="s">
        <v>28</v>
      </c>
      <c r="B214" t="s">
        <v>29</v>
      </c>
      <c r="C214" t="s">
        <v>20</v>
      </c>
      <c r="D214" t="s">
        <v>43</v>
      </c>
      <c r="E214" t="s">
        <v>44</v>
      </c>
      <c r="F214" t="s">
        <v>30</v>
      </c>
      <c r="G214" s="3">
        <v>45384</v>
      </c>
      <c r="H214">
        <v>267</v>
      </c>
      <c r="I214">
        <v>59</v>
      </c>
      <c r="J214" t="str">
        <f>IF(supply_chain_data[[#This Row],[Units Sold]]&gt;supply_chain_data[[#This Row],[Opening Stock]],"Yes","No")</f>
        <v>No</v>
      </c>
      <c r="K214">
        <v>5</v>
      </c>
      <c r="L214">
        <f>supply_chain_data[[#This Row],[Opening Stock]]+supply_chain_data[[#This Row],[Units Received]]-supply_chain_data[[#This Row],[Units Sold]]</f>
        <v>213</v>
      </c>
      <c r="M214">
        <v>213</v>
      </c>
      <c r="N214">
        <v>81</v>
      </c>
      <c r="O214" s="2">
        <v>713</v>
      </c>
      <c r="P214">
        <v>9</v>
      </c>
      <c r="Q214">
        <v>9</v>
      </c>
      <c r="R21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14" t="s">
        <v>24</v>
      </c>
      <c r="T214">
        <v>45</v>
      </c>
      <c r="U214" s="5">
        <f>MAX(0,MIN(1,1-ABS(supply_chain_data[[#This Row],[Forecast Demand]]-supply_chain_data[[#This Row],[Units Sold]])/supply_chain_data[[#This Row],[Forecast Demand]]))</f>
        <v>0.68888888888888888</v>
      </c>
      <c r="V214" s="4">
        <f>supply_chain_data[[#This Row],[Closing Stock]]/supply_chain_data[[#This Row],[Forecast Demand]]</f>
        <v>4.7333333333333334</v>
      </c>
      <c r="W214">
        <v>151869</v>
      </c>
    </row>
    <row r="215" spans="1:23" hidden="1" x14ac:dyDescent="0.35">
      <c r="A215" t="s">
        <v>28</v>
      </c>
      <c r="B215" t="s">
        <v>29</v>
      </c>
      <c r="C215" t="s">
        <v>20</v>
      </c>
      <c r="D215" t="s">
        <v>21</v>
      </c>
      <c r="E215" t="s">
        <v>22</v>
      </c>
      <c r="F215" t="s">
        <v>30</v>
      </c>
      <c r="G215" s="3">
        <v>45385</v>
      </c>
      <c r="H215">
        <v>57</v>
      </c>
      <c r="I215">
        <v>30</v>
      </c>
      <c r="J215" t="str">
        <f>IF(supply_chain_data[[#This Row],[Units Sold]]&gt;supply_chain_data[[#This Row],[Opening Stock]],"Yes","No")</f>
        <v>No</v>
      </c>
      <c r="K215">
        <v>44</v>
      </c>
      <c r="L215">
        <f>supply_chain_data[[#This Row],[Opening Stock]]+supply_chain_data[[#This Row],[Units Received]]-supply_chain_data[[#This Row],[Units Sold]]</f>
        <v>71</v>
      </c>
      <c r="M215">
        <v>71</v>
      </c>
      <c r="N215">
        <v>77</v>
      </c>
      <c r="O215" s="2">
        <v>950</v>
      </c>
      <c r="P215">
        <v>12</v>
      </c>
      <c r="Q215">
        <v>4</v>
      </c>
      <c r="R21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215" t="s">
        <v>36</v>
      </c>
      <c r="T215">
        <v>50</v>
      </c>
      <c r="U215" s="5">
        <f>MAX(0,MIN(1,1-ABS(supply_chain_data[[#This Row],[Forecast Demand]]-supply_chain_data[[#This Row],[Units Sold]])/supply_chain_data[[#This Row],[Forecast Demand]]))</f>
        <v>0.6</v>
      </c>
      <c r="V215" s="4">
        <f>supply_chain_data[[#This Row],[Closing Stock]]/supply_chain_data[[#This Row],[Forecast Demand]]</f>
        <v>1.42</v>
      </c>
      <c r="W215">
        <v>67450</v>
      </c>
    </row>
    <row r="216" spans="1:23" x14ac:dyDescent="0.35">
      <c r="A216" t="s">
        <v>28</v>
      </c>
      <c r="B216" t="s">
        <v>29</v>
      </c>
      <c r="C216" t="s">
        <v>20</v>
      </c>
      <c r="D216" t="s">
        <v>21</v>
      </c>
      <c r="E216" t="s">
        <v>22</v>
      </c>
      <c r="F216" t="s">
        <v>33</v>
      </c>
      <c r="G216" s="3">
        <v>45386</v>
      </c>
      <c r="H216">
        <v>281</v>
      </c>
      <c r="I216">
        <v>26</v>
      </c>
      <c r="J216" t="str">
        <f>IF(supply_chain_data[[#This Row],[Units Sold]]&gt;supply_chain_data[[#This Row],[Opening Stock]],"Yes","No")</f>
        <v>No</v>
      </c>
      <c r="K216">
        <v>67</v>
      </c>
      <c r="L216">
        <f>supply_chain_data[[#This Row],[Opening Stock]]+supply_chain_data[[#This Row],[Units Received]]-supply_chain_data[[#This Row],[Units Sold]]</f>
        <v>322</v>
      </c>
      <c r="M216">
        <v>322</v>
      </c>
      <c r="N216">
        <v>84</v>
      </c>
      <c r="O216" s="2">
        <v>59</v>
      </c>
      <c r="P216">
        <v>12</v>
      </c>
      <c r="Q216">
        <v>1</v>
      </c>
      <c r="R21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16" t="s">
        <v>24</v>
      </c>
      <c r="T216">
        <v>23</v>
      </c>
      <c r="U216" s="5">
        <f>MAX(0,MIN(1,1-ABS(supply_chain_data[[#This Row],[Forecast Demand]]-supply_chain_data[[#This Row],[Units Sold]])/supply_chain_data[[#This Row],[Forecast Demand]]))</f>
        <v>0.86956521739130432</v>
      </c>
      <c r="V216" s="4">
        <f>supply_chain_data[[#This Row],[Closing Stock]]/supply_chain_data[[#This Row],[Forecast Demand]]</f>
        <v>14</v>
      </c>
      <c r="W216">
        <v>18998</v>
      </c>
    </row>
    <row r="217" spans="1:23" x14ac:dyDescent="0.35">
      <c r="A217" t="s">
        <v>41</v>
      </c>
      <c r="B217" t="s">
        <v>42</v>
      </c>
      <c r="C217" t="s">
        <v>20</v>
      </c>
      <c r="D217" t="s">
        <v>37</v>
      </c>
      <c r="E217" t="s">
        <v>46</v>
      </c>
      <c r="F217" t="s">
        <v>30</v>
      </c>
      <c r="G217" s="3">
        <v>45387</v>
      </c>
      <c r="H217">
        <v>201</v>
      </c>
      <c r="I217">
        <v>31</v>
      </c>
      <c r="J217" t="str">
        <f>IF(supply_chain_data[[#This Row],[Units Sold]]&gt;supply_chain_data[[#This Row],[Opening Stock]],"Yes","No")</f>
        <v>No</v>
      </c>
      <c r="K217">
        <v>67</v>
      </c>
      <c r="L217">
        <f>supply_chain_data[[#This Row],[Opening Stock]]+supply_chain_data[[#This Row],[Units Received]]-supply_chain_data[[#This Row],[Units Sold]]</f>
        <v>237</v>
      </c>
      <c r="M217">
        <v>237</v>
      </c>
      <c r="N217">
        <v>100</v>
      </c>
      <c r="O217" s="2">
        <v>1215</v>
      </c>
      <c r="P217">
        <v>3</v>
      </c>
      <c r="Q217">
        <v>8</v>
      </c>
      <c r="R21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17" t="s">
        <v>24</v>
      </c>
      <c r="T217">
        <v>57</v>
      </c>
      <c r="U217" s="5">
        <f>MAX(0,MIN(1,1-ABS(supply_chain_data[[#This Row],[Forecast Demand]]-supply_chain_data[[#This Row],[Units Sold]])/supply_chain_data[[#This Row],[Forecast Demand]]))</f>
        <v>0.54385964912280704</v>
      </c>
      <c r="V217" s="4">
        <f>supply_chain_data[[#This Row],[Closing Stock]]/supply_chain_data[[#This Row],[Forecast Demand]]</f>
        <v>4.1578947368421053</v>
      </c>
      <c r="W217">
        <v>287955</v>
      </c>
    </row>
    <row r="218" spans="1:23" hidden="1" x14ac:dyDescent="0.35">
      <c r="A218" t="s">
        <v>41</v>
      </c>
      <c r="B218" t="s">
        <v>42</v>
      </c>
      <c r="C218" t="s">
        <v>20</v>
      </c>
      <c r="D218" t="s">
        <v>31</v>
      </c>
      <c r="E218" t="s">
        <v>32</v>
      </c>
      <c r="F218" t="s">
        <v>33</v>
      </c>
      <c r="G218" s="3">
        <v>45388</v>
      </c>
      <c r="H218">
        <v>137</v>
      </c>
      <c r="I218">
        <v>16</v>
      </c>
      <c r="J218" t="str">
        <f>IF(supply_chain_data[[#This Row],[Units Sold]]&gt;supply_chain_data[[#This Row],[Opening Stock]],"Yes","No")</f>
        <v>No</v>
      </c>
      <c r="K218">
        <v>8</v>
      </c>
      <c r="L218">
        <f>supply_chain_data[[#This Row],[Opening Stock]]+supply_chain_data[[#This Row],[Units Received]]-supply_chain_data[[#This Row],[Units Sold]]</f>
        <v>129</v>
      </c>
      <c r="M218">
        <v>129</v>
      </c>
      <c r="N218">
        <v>40</v>
      </c>
      <c r="O218" s="2">
        <v>1131</v>
      </c>
      <c r="P218">
        <v>13</v>
      </c>
      <c r="Q218">
        <v>5</v>
      </c>
      <c r="R21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18" t="s">
        <v>24</v>
      </c>
      <c r="T218">
        <v>38</v>
      </c>
      <c r="U218" s="5">
        <f>MAX(0,MIN(1,1-ABS(supply_chain_data[[#This Row],[Forecast Demand]]-supply_chain_data[[#This Row],[Units Sold]])/supply_chain_data[[#This Row],[Forecast Demand]]))</f>
        <v>0.42105263157894735</v>
      </c>
      <c r="V218" s="4">
        <f>supply_chain_data[[#This Row],[Closing Stock]]/supply_chain_data[[#This Row],[Forecast Demand]]</f>
        <v>3.3947368421052633</v>
      </c>
      <c r="W218">
        <v>145899</v>
      </c>
    </row>
    <row r="219" spans="1:23" hidden="1" x14ac:dyDescent="0.35">
      <c r="A219" t="s">
        <v>28</v>
      </c>
      <c r="B219" t="s">
        <v>29</v>
      </c>
      <c r="C219" t="s">
        <v>20</v>
      </c>
      <c r="D219" t="s">
        <v>21</v>
      </c>
      <c r="E219" t="s">
        <v>22</v>
      </c>
      <c r="F219" t="s">
        <v>33</v>
      </c>
      <c r="G219" s="3">
        <v>45389</v>
      </c>
      <c r="H219">
        <v>255</v>
      </c>
      <c r="I219">
        <v>49</v>
      </c>
      <c r="J219" t="str">
        <f>IF(supply_chain_data[[#This Row],[Units Sold]]&gt;supply_chain_data[[#This Row],[Opening Stock]],"Yes","No")</f>
        <v>No</v>
      </c>
      <c r="K219">
        <v>32</v>
      </c>
      <c r="L219">
        <f>supply_chain_data[[#This Row],[Opening Stock]]+supply_chain_data[[#This Row],[Units Received]]-supply_chain_data[[#This Row],[Units Sold]]</f>
        <v>238</v>
      </c>
      <c r="M219">
        <v>238</v>
      </c>
      <c r="N219">
        <v>49</v>
      </c>
      <c r="O219" s="2">
        <v>879</v>
      </c>
      <c r="P219">
        <v>3</v>
      </c>
      <c r="Q219">
        <v>0</v>
      </c>
      <c r="R21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19" t="s">
        <v>24</v>
      </c>
      <c r="T219">
        <v>64</v>
      </c>
      <c r="U219" s="5">
        <f>MAX(0,MIN(1,1-ABS(supply_chain_data[[#This Row],[Forecast Demand]]-supply_chain_data[[#This Row],[Units Sold]])/supply_chain_data[[#This Row],[Forecast Demand]]))</f>
        <v>0.765625</v>
      </c>
      <c r="V219" s="4">
        <f>supply_chain_data[[#This Row],[Closing Stock]]/supply_chain_data[[#This Row],[Forecast Demand]]</f>
        <v>3.71875</v>
      </c>
      <c r="W219">
        <v>209202</v>
      </c>
    </row>
    <row r="220" spans="1:23" x14ac:dyDescent="0.35">
      <c r="A220" t="s">
        <v>18</v>
      </c>
      <c r="B220" t="s">
        <v>19</v>
      </c>
      <c r="C220" t="s">
        <v>20</v>
      </c>
      <c r="D220" t="s">
        <v>43</v>
      </c>
      <c r="E220" t="s">
        <v>48</v>
      </c>
      <c r="F220" t="s">
        <v>23</v>
      </c>
      <c r="G220" s="3">
        <v>45390</v>
      </c>
      <c r="H220">
        <v>237</v>
      </c>
      <c r="I220">
        <v>32</v>
      </c>
      <c r="J220" t="str">
        <f>IF(supply_chain_data[[#This Row],[Units Sold]]&gt;supply_chain_data[[#This Row],[Opening Stock]],"Yes","No")</f>
        <v>No</v>
      </c>
      <c r="K220">
        <v>19</v>
      </c>
      <c r="L220">
        <f>supply_chain_data[[#This Row],[Opening Stock]]+supply_chain_data[[#This Row],[Units Received]]-supply_chain_data[[#This Row],[Units Sold]]</f>
        <v>224</v>
      </c>
      <c r="M220">
        <v>224</v>
      </c>
      <c r="N220">
        <v>88</v>
      </c>
      <c r="O220" s="2">
        <v>825</v>
      </c>
      <c r="P220">
        <v>15</v>
      </c>
      <c r="Q220">
        <v>0</v>
      </c>
      <c r="R22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20" t="s">
        <v>24</v>
      </c>
      <c r="T220">
        <v>30</v>
      </c>
      <c r="U220" s="5">
        <f>MAX(0,MIN(1,1-ABS(supply_chain_data[[#This Row],[Forecast Demand]]-supply_chain_data[[#This Row],[Units Sold]])/supply_chain_data[[#This Row],[Forecast Demand]]))</f>
        <v>0.93333333333333335</v>
      </c>
      <c r="V220" s="4">
        <f>supply_chain_data[[#This Row],[Closing Stock]]/supply_chain_data[[#This Row],[Forecast Demand]]</f>
        <v>7.4666666666666668</v>
      </c>
      <c r="W220">
        <v>184800</v>
      </c>
    </row>
    <row r="221" spans="1:23" x14ac:dyDescent="0.35">
      <c r="A221" t="s">
        <v>34</v>
      </c>
      <c r="B221" t="s">
        <v>35</v>
      </c>
      <c r="C221" t="s">
        <v>20</v>
      </c>
      <c r="D221" t="s">
        <v>43</v>
      </c>
      <c r="E221" t="s">
        <v>48</v>
      </c>
      <c r="F221" t="s">
        <v>23</v>
      </c>
      <c r="G221" s="3">
        <v>45391</v>
      </c>
      <c r="H221">
        <v>275</v>
      </c>
      <c r="I221">
        <v>50</v>
      </c>
      <c r="J221" t="str">
        <f>IF(supply_chain_data[[#This Row],[Units Sold]]&gt;supply_chain_data[[#This Row],[Opening Stock]],"Yes","No")</f>
        <v>No</v>
      </c>
      <c r="K221">
        <v>45</v>
      </c>
      <c r="L221">
        <f>supply_chain_data[[#This Row],[Opening Stock]]+supply_chain_data[[#This Row],[Units Received]]-supply_chain_data[[#This Row],[Units Sold]]</f>
        <v>270</v>
      </c>
      <c r="M221">
        <v>270</v>
      </c>
      <c r="N221">
        <v>68</v>
      </c>
      <c r="O221" s="2">
        <v>417</v>
      </c>
      <c r="P221">
        <v>13</v>
      </c>
      <c r="Q221">
        <v>6</v>
      </c>
      <c r="R22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21" t="s">
        <v>24</v>
      </c>
      <c r="T221">
        <v>43</v>
      </c>
      <c r="U221" s="5">
        <f>MAX(0,MIN(1,1-ABS(supply_chain_data[[#This Row],[Forecast Demand]]-supply_chain_data[[#This Row],[Units Sold]])/supply_chain_data[[#This Row],[Forecast Demand]]))</f>
        <v>0.83720930232558133</v>
      </c>
      <c r="V221" s="4">
        <f>supply_chain_data[[#This Row],[Closing Stock]]/supply_chain_data[[#This Row],[Forecast Demand]]</f>
        <v>6.2790697674418601</v>
      </c>
      <c r="W221">
        <v>112590</v>
      </c>
    </row>
    <row r="222" spans="1:23" x14ac:dyDescent="0.35">
      <c r="A222" t="s">
        <v>25</v>
      </c>
      <c r="B222" t="s">
        <v>26</v>
      </c>
      <c r="C222" t="s">
        <v>20</v>
      </c>
      <c r="D222" t="s">
        <v>39</v>
      </c>
      <c r="E222" t="s">
        <v>40</v>
      </c>
      <c r="F222" t="s">
        <v>23</v>
      </c>
      <c r="G222" s="3">
        <v>45392</v>
      </c>
      <c r="H222">
        <v>298</v>
      </c>
      <c r="I222">
        <v>47</v>
      </c>
      <c r="J222" t="str">
        <f>IF(supply_chain_data[[#This Row],[Units Sold]]&gt;supply_chain_data[[#This Row],[Opening Stock]],"Yes","No")</f>
        <v>No</v>
      </c>
      <c r="K222">
        <v>43</v>
      </c>
      <c r="L222">
        <f>supply_chain_data[[#This Row],[Opening Stock]]+supply_chain_data[[#This Row],[Units Received]]-supply_chain_data[[#This Row],[Units Sold]]</f>
        <v>294</v>
      </c>
      <c r="M222">
        <v>294</v>
      </c>
      <c r="N222">
        <v>63</v>
      </c>
      <c r="O222" s="2">
        <v>220</v>
      </c>
      <c r="P222">
        <v>15</v>
      </c>
      <c r="Q222">
        <v>8</v>
      </c>
      <c r="R22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22" t="s">
        <v>24</v>
      </c>
      <c r="T222">
        <v>52</v>
      </c>
      <c r="U222" s="5">
        <f>MAX(0,MIN(1,1-ABS(supply_chain_data[[#This Row],[Forecast Demand]]-supply_chain_data[[#This Row],[Units Sold]])/supply_chain_data[[#This Row],[Forecast Demand]]))</f>
        <v>0.90384615384615385</v>
      </c>
      <c r="V222" s="4">
        <f>supply_chain_data[[#This Row],[Closing Stock]]/supply_chain_data[[#This Row],[Forecast Demand]]</f>
        <v>5.6538461538461542</v>
      </c>
      <c r="W222">
        <v>64680</v>
      </c>
    </row>
    <row r="223" spans="1:23" x14ac:dyDescent="0.35">
      <c r="A223" t="s">
        <v>41</v>
      </c>
      <c r="B223" t="s">
        <v>42</v>
      </c>
      <c r="C223" t="s">
        <v>20</v>
      </c>
      <c r="D223" t="s">
        <v>43</v>
      </c>
      <c r="E223" t="s">
        <v>44</v>
      </c>
      <c r="F223" t="s">
        <v>30</v>
      </c>
      <c r="G223" s="3">
        <v>45393</v>
      </c>
      <c r="H223">
        <v>150</v>
      </c>
      <c r="I223">
        <v>42</v>
      </c>
      <c r="J223" t="str">
        <f>IF(supply_chain_data[[#This Row],[Units Sold]]&gt;supply_chain_data[[#This Row],[Opening Stock]],"Yes","No")</f>
        <v>No</v>
      </c>
      <c r="K223">
        <v>2</v>
      </c>
      <c r="L223">
        <f>supply_chain_data[[#This Row],[Opening Stock]]+supply_chain_data[[#This Row],[Units Received]]-supply_chain_data[[#This Row],[Units Sold]]</f>
        <v>110</v>
      </c>
      <c r="M223">
        <v>110</v>
      </c>
      <c r="N223">
        <v>73</v>
      </c>
      <c r="O223" s="2">
        <v>404</v>
      </c>
      <c r="P223">
        <v>11</v>
      </c>
      <c r="Q223">
        <v>1</v>
      </c>
      <c r="R22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23" t="s">
        <v>24</v>
      </c>
      <c r="T223">
        <v>13</v>
      </c>
      <c r="U223" s="5">
        <f>MAX(0,MIN(1,1-ABS(supply_chain_data[[#This Row],[Forecast Demand]]-supply_chain_data[[#This Row],[Units Sold]])/supply_chain_data[[#This Row],[Forecast Demand]]))</f>
        <v>0</v>
      </c>
      <c r="V223" s="4">
        <f>supply_chain_data[[#This Row],[Closing Stock]]/supply_chain_data[[#This Row],[Forecast Demand]]</f>
        <v>8.4615384615384617</v>
      </c>
      <c r="W223">
        <v>44440</v>
      </c>
    </row>
    <row r="224" spans="1:23" x14ac:dyDescent="0.35">
      <c r="A224" t="s">
        <v>34</v>
      </c>
      <c r="B224" t="s">
        <v>35</v>
      </c>
      <c r="C224" t="s">
        <v>20</v>
      </c>
      <c r="D224" t="s">
        <v>39</v>
      </c>
      <c r="E224" t="s">
        <v>45</v>
      </c>
      <c r="F224" t="s">
        <v>33</v>
      </c>
      <c r="G224" s="3">
        <v>45394</v>
      </c>
      <c r="H224">
        <v>264</v>
      </c>
      <c r="I224">
        <v>12</v>
      </c>
      <c r="J224" t="str">
        <f>IF(supply_chain_data[[#This Row],[Units Sold]]&gt;supply_chain_data[[#This Row],[Opening Stock]],"Yes","No")</f>
        <v>No</v>
      </c>
      <c r="K224">
        <v>23</v>
      </c>
      <c r="L224">
        <f>supply_chain_data[[#This Row],[Opening Stock]]+supply_chain_data[[#This Row],[Units Received]]-supply_chain_data[[#This Row],[Units Sold]]</f>
        <v>275</v>
      </c>
      <c r="M224">
        <v>275</v>
      </c>
      <c r="N224">
        <v>43</v>
      </c>
      <c r="O224" s="2">
        <v>964</v>
      </c>
      <c r="P224">
        <v>8</v>
      </c>
      <c r="Q224">
        <v>5</v>
      </c>
      <c r="R22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24" t="s">
        <v>24</v>
      </c>
      <c r="T224">
        <v>24</v>
      </c>
      <c r="U224" s="5">
        <f>MAX(0,MIN(1,1-ABS(supply_chain_data[[#This Row],[Forecast Demand]]-supply_chain_data[[#This Row],[Units Sold]])/supply_chain_data[[#This Row],[Forecast Demand]]))</f>
        <v>0.5</v>
      </c>
      <c r="V224" s="4">
        <f>supply_chain_data[[#This Row],[Closing Stock]]/supply_chain_data[[#This Row],[Forecast Demand]]</f>
        <v>11.458333333333334</v>
      </c>
      <c r="W224">
        <v>265100</v>
      </c>
    </row>
    <row r="225" spans="1:23" hidden="1" x14ac:dyDescent="0.35">
      <c r="A225" t="s">
        <v>41</v>
      </c>
      <c r="B225" t="s">
        <v>42</v>
      </c>
      <c r="C225" t="s">
        <v>20</v>
      </c>
      <c r="D225" t="s">
        <v>43</v>
      </c>
      <c r="E225" t="s">
        <v>48</v>
      </c>
      <c r="F225" t="s">
        <v>23</v>
      </c>
      <c r="G225" s="3">
        <v>45395</v>
      </c>
      <c r="H225">
        <v>70</v>
      </c>
      <c r="I225">
        <v>22</v>
      </c>
      <c r="J225" t="str">
        <f>IF(supply_chain_data[[#This Row],[Units Sold]]&gt;supply_chain_data[[#This Row],[Opening Stock]],"Yes","No")</f>
        <v>No</v>
      </c>
      <c r="K225">
        <v>72</v>
      </c>
      <c r="L225">
        <f>supply_chain_data[[#This Row],[Opening Stock]]+supply_chain_data[[#This Row],[Units Received]]-supply_chain_data[[#This Row],[Units Sold]]</f>
        <v>120</v>
      </c>
      <c r="M225">
        <v>120</v>
      </c>
      <c r="N225">
        <v>99</v>
      </c>
      <c r="O225" s="2">
        <v>1160</v>
      </c>
      <c r="P225">
        <v>3</v>
      </c>
      <c r="Q225">
        <v>8</v>
      </c>
      <c r="R22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225" t="s">
        <v>24</v>
      </c>
      <c r="T225">
        <v>65</v>
      </c>
      <c r="U225" s="5">
        <f>MAX(0,MIN(1,1-ABS(supply_chain_data[[#This Row],[Forecast Demand]]-supply_chain_data[[#This Row],[Units Sold]])/supply_chain_data[[#This Row],[Forecast Demand]]))</f>
        <v>0.33846153846153848</v>
      </c>
      <c r="V225" s="4">
        <f>supply_chain_data[[#This Row],[Closing Stock]]/supply_chain_data[[#This Row],[Forecast Demand]]</f>
        <v>1.8461538461538463</v>
      </c>
      <c r="W225">
        <v>139200</v>
      </c>
    </row>
    <row r="226" spans="1:23" hidden="1" x14ac:dyDescent="0.35">
      <c r="A226" t="s">
        <v>41</v>
      </c>
      <c r="B226" t="s">
        <v>42</v>
      </c>
      <c r="C226" t="s">
        <v>20</v>
      </c>
      <c r="D226" t="s">
        <v>37</v>
      </c>
      <c r="E226" t="s">
        <v>46</v>
      </c>
      <c r="F226" t="s">
        <v>33</v>
      </c>
      <c r="G226" s="3">
        <v>45396</v>
      </c>
      <c r="H226">
        <v>105</v>
      </c>
      <c r="I226">
        <v>25</v>
      </c>
      <c r="J226" t="str">
        <f>IF(supply_chain_data[[#This Row],[Units Sold]]&gt;supply_chain_data[[#This Row],[Opening Stock]],"Yes","No")</f>
        <v>No</v>
      </c>
      <c r="K226">
        <v>61</v>
      </c>
      <c r="L226">
        <f>supply_chain_data[[#This Row],[Opening Stock]]+supply_chain_data[[#This Row],[Units Received]]-supply_chain_data[[#This Row],[Units Sold]]</f>
        <v>141</v>
      </c>
      <c r="M226">
        <v>141</v>
      </c>
      <c r="N226">
        <v>87</v>
      </c>
      <c r="O226" s="2">
        <v>129</v>
      </c>
      <c r="P226">
        <v>9</v>
      </c>
      <c r="Q226">
        <v>8</v>
      </c>
      <c r="R22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26" t="s">
        <v>24</v>
      </c>
      <c r="T226">
        <v>44</v>
      </c>
      <c r="U226" s="5">
        <f>MAX(0,MIN(1,1-ABS(supply_chain_data[[#This Row],[Forecast Demand]]-supply_chain_data[[#This Row],[Units Sold]])/supply_chain_data[[#This Row],[Forecast Demand]]))</f>
        <v>0.56818181818181812</v>
      </c>
      <c r="V226" s="4">
        <f>supply_chain_data[[#This Row],[Closing Stock]]/supply_chain_data[[#This Row],[Forecast Demand]]</f>
        <v>3.2045454545454546</v>
      </c>
      <c r="W226">
        <v>18189</v>
      </c>
    </row>
    <row r="227" spans="1:23" hidden="1" x14ac:dyDescent="0.35">
      <c r="A227" t="s">
        <v>25</v>
      </c>
      <c r="B227" t="s">
        <v>26</v>
      </c>
      <c r="C227" t="s">
        <v>20</v>
      </c>
      <c r="D227" t="s">
        <v>37</v>
      </c>
      <c r="E227" t="s">
        <v>38</v>
      </c>
      <c r="F227" t="s">
        <v>33</v>
      </c>
      <c r="G227" s="3">
        <v>45397</v>
      </c>
      <c r="H227">
        <v>69</v>
      </c>
      <c r="I227">
        <v>37</v>
      </c>
      <c r="J227" t="str">
        <f>IF(supply_chain_data[[#This Row],[Units Sold]]&gt;supply_chain_data[[#This Row],[Opening Stock]],"Yes","No")</f>
        <v>No</v>
      </c>
      <c r="K227">
        <v>31</v>
      </c>
      <c r="L227">
        <f>supply_chain_data[[#This Row],[Opening Stock]]+supply_chain_data[[#This Row],[Units Received]]-supply_chain_data[[#This Row],[Units Sold]]</f>
        <v>63</v>
      </c>
      <c r="M227">
        <v>63</v>
      </c>
      <c r="N227">
        <v>42</v>
      </c>
      <c r="O227" s="2">
        <v>435</v>
      </c>
      <c r="P227">
        <v>12</v>
      </c>
      <c r="Q227">
        <v>8</v>
      </c>
      <c r="R22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227" t="s">
        <v>24</v>
      </c>
      <c r="T227">
        <v>62</v>
      </c>
      <c r="U227" s="5">
        <f>MAX(0,MIN(1,1-ABS(supply_chain_data[[#This Row],[Forecast Demand]]-supply_chain_data[[#This Row],[Units Sold]])/supply_chain_data[[#This Row],[Forecast Demand]]))</f>
        <v>0.59677419354838712</v>
      </c>
      <c r="V227" s="4">
        <f>supply_chain_data[[#This Row],[Closing Stock]]/supply_chain_data[[#This Row],[Forecast Demand]]</f>
        <v>1.0161290322580645</v>
      </c>
      <c r="W227">
        <v>27405</v>
      </c>
    </row>
    <row r="228" spans="1:23" hidden="1" x14ac:dyDescent="0.35">
      <c r="A228" t="s">
        <v>25</v>
      </c>
      <c r="B228" t="s">
        <v>26</v>
      </c>
      <c r="C228" t="s">
        <v>20</v>
      </c>
      <c r="D228" t="s">
        <v>21</v>
      </c>
      <c r="E228" t="s">
        <v>27</v>
      </c>
      <c r="F228" t="s">
        <v>30</v>
      </c>
      <c r="G228" s="3">
        <v>45398</v>
      </c>
      <c r="H228">
        <v>166</v>
      </c>
      <c r="I228">
        <v>49</v>
      </c>
      <c r="J228" t="str">
        <f>IF(supply_chain_data[[#This Row],[Units Sold]]&gt;supply_chain_data[[#This Row],[Opening Stock]],"Yes","No")</f>
        <v>No</v>
      </c>
      <c r="K228">
        <v>9</v>
      </c>
      <c r="L228">
        <f>supply_chain_data[[#This Row],[Opening Stock]]+supply_chain_data[[#This Row],[Units Received]]-supply_chain_data[[#This Row],[Units Sold]]</f>
        <v>126</v>
      </c>
      <c r="M228">
        <v>126</v>
      </c>
      <c r="N228">
        <v>46</v>
      </c>
      <c r="O228" s="2">
        <v>657</v>
      </c>
      <c r="P228">
        <v>7</v>
      </c>
      <c r="Q228">
        <v>3</v>
      </c>
      <c r="R22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228" t="s">
        <v>24</v>
      </c>
      <c r="T228">
        <v>65</v>
      </c>
      <c r="U228" s="5">
        <f>MAX(0,MIN(1,1-ABS(supply_chain_data[[#This Row],[Forecast Demand]]-supply_chain_data[[#This Row],[Units Sold]])/supply_chain_data[[#This Row],[Forecast Demand]]))</f>
        <v>0.75384615384615383</v>
      </c>
      <c r="V228" s="4">
        <f>supply_chain_data[[#This Row],[Closing Stock]]/supply_chain_data[[#This Row],[Forecast Demand]]</f>
        <v>1.9384615384615385</v>
      </c>
      <c r="W228">
        <v>82782</v>
      </c>
    </row>
    <row r="229" spans="1:23" hidden="1" x14ac:dyDescent="0.35">
      <c r="A229" t="s">
        <v>25</v>
      </c>
      <c r="B229" t="s">
        <v>26</v>
      </c>
      <c r="C229" t="s">
        <v>20</v>
      </c>
      <c r="D229" t="s">
        <v>43</v>
      </c>
      <c r="E229" t="s">
        <v>44</v>
      </c>
      <c r="F229" t="s">
        <v>33</v>
      </c>
      <c r="G229" s="3">
        <v>45399</v>
      </c>
      <c r="H229">
        <v>103</v>
      </c>
      <c r="I229">
        <v>21</v>
      </c>
      <c r="J229" t="str">
        <f>IF(supply_chain_data[[#This Row],[Units Sold]]&gt;supply_chain_data[[#This Row],[Opening Stock]],"Yes","No")</f>
        <v>No</v>
      </c>
      <c r="K229">
        <v>18</v>
      </c>
      <c r="L229">
        <f>supply_chain_data[[#This Row],[Opening Stock]]+supply_chain_data[[#This Row],[Units Received]]-supply_chain_data[[#This Row],[Units Sold]]</f>
        <v>100</v>
      </c>
      <c r="M229">
        <v>100</v>
      </c>
      <c r="N229">
        <v>56</v>
      </c>
      <c r="O229" s="2">
        <v>1323</v>
      </c>
      <c r="P229">
        <v>9</v>
      </c>
      <c r="Q229">
        <v>0</v>
      </c>
      <c r="R22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29" t="s">
        <v>24</v>
      </c>
      <c r="T229">
        <v>40</v>
      </c>
      <c r="U229" s="5">
        <f>MAX(0,MIN(1,1-ABS(supply_chain_data[[#This Row],[Forecast Demand]]-supply_chain_data[[#This Row],[Units Sold]])/supply_chain_data[[#This Row],[Forecast Demand]]))</f>
        <v>0.52500000000000002</v>
      </c>
      <c r="V229" s="4">
        <f>supply_chain_data[[#This Row],[Closing Stock]]/supply_chain_data[[#This Row],[Forecast Demand]]</f>
        <v>2.5</v>
      </c>
      <c r="W229">
        <v>132300</v>
      </c>
    </row>
    <row r="230" spans="1:23" x14ac:dyDescent="0.35">
      <c r="A230" t="s">
        <v>41</v>
      </c>
      <c r="B230" t="s">
        <v>42</v>
      </c>
      <c r="C230" t="s">
        <v>20</v>
      </c>
      <c r="D230" t="s">
        <v>43</v>
      </c>
      <c r="E230" t="s">
        <v>44</v>
      </c>
      <c r="F230" t="s">
        <v>23</v>
      </c>
      <c r="G230" s="3">
        <v>45400</v>
      </c>
      <c r="H230">
        <v>296</v>
      </c>
      <c r="I230">
        <v>15</v>
      </c>
      <c r="J230" t="str">
        <f>IF(supply_chain_data[[#This Row],[Units Sold]]&gt;supply_chain_data[[#This Row],[Opening Stock]],"Yes","No")</f>
        <v>No</v>
      </c>
      <c r="K230">
        <v>50</v>
      </c>
      <c r="L230">
        <f>supply_chain_data[[#This Row],[Opening Stock]]+supply_chain_data[[#This Row],[Units Received]]-supply_chain_data[[#This Row],[Units Sold]]</f>
        <v>331</v>
      </c>
      <c r="M230">
        <v>331</v>
      </c>
      <c r="N230">
        <v>47</v>
      </c>
      <c r="O230" s="2">
        <v>829</v>
      </c>
      <c r="P230">
        <v>10</v>
      </c>
      <c r="Q230">
        <v>4</v>
      </c>
      <c r="R23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30" t="s">
        <v>24</v>
      </c>
      <c r="T230">
        <v>49</v>
      </c>
      <c r="U230" s="5">
        <f>MAX(0,MIN(1,1-ABS(supply_chain_data[[#This Row],[Forecast Demand]]-supply_chain_data[[#This Row],[Units Sold]])/supply_chain_data[[#This Row],[Forecast Demand]]))</f>
        <v>0.30612244897959184</v>
      </c>
      <c r="V230" s="4">
        <f>supply_chain_data[[#This Row],[Closing Stock]]/supply_chain_data[[#This Row],[Forecast Demand]]</f>
        <v>6.7551020408163263</v>
      </c>
      <c r="W230">
        <v>274399</v>
      </c>
    </row>
    <row r="231" spans="1:23" x14ac:dyDescent="0.35">
      <c r="A231" t="s">
        <v>34</v>
      </c>
      <c r="B231" t="s">
        <v>35</v>
      </c>
      <c r="C231" t="s">
        <v>20</v>
      </c>
      <c r="D231" t="s">
        <v>43</v>
      </c>
      <c r="E231" t="s">
        <v>48</v>
      </c>
      <c r="F231" t="s">
        <v>30</v>
      </c>
      <c r="G231" s="3">
        <v>45401</v>
      </c>
      <c r="H231">
        <v>275</v>
      </c>
      <c r="I231">
        <v>15</v>
      </c>
      <c r="J231" t="str">
        <f>IF(supply_chain_data[[#This Row],[Units Sold]]&gt;supply_chain_data[[#This Row],[Opening Stock]],"Yes","No")</f>
        <v>No</v>
      </c>
      <c r="K231">
        <v>24</v>
      </c>
      <c r="L231">
        <f>supply_chain_data[[#This Row],[Opening Stock]]+supply_chain_data[[#This Row],[Units Received]]-supply_chain_data[[#This Row],[Units Sold]]</f>
        <v>284</v>
      </c>
      <c r="M231">
        <v>284</v>
      </c>
      <c r="N231">
        <v>89</v>
      </c>
      <c r="O231" s="2">
        <v>631</v>
      </c>
      <c r="P231">
        <v>4</v>
      </c>
      <c r="Q231">
        <v>5</v>
      </c>
      <c r="R23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31" t="s">
        <v>24</v>
      </c>
      <c r="T231">
        <v>52</v>
      </c>
      <c r="U231" s="5">
        <f>MAX(0,MIN(1,1-ABS(supply_chain_data[[#This Row],[Forecast Demand]]-supply_chain_data[[#This Row],[Units Sold]])/supply_chain_data[[#This Row],[Forecast Demand]]))</f>
        <v>0.28846153846153844</v>
      </c>
      <c r="V231" s="4">
        <f>supply_chain_data[[#This Row],[Closing Stock]]/supply_chain_data[[#This Row],[Forecast Demand]]</f>
        <v>5.4615384615384617</v>
      </c>
      <c r="W231">
        <v>179204</v>
      </c>
    </row>
    <row r="232" spans="1:23" hidden="1" x14ac:dyDescent="0.35">
      <c r="A232" t="s">
        <v>28</v>
      </c>
      <c r="B232" t="s">
        <v>29</v>
      </c>
      <c r="C232" t="s">
        <v>20</v>
      </c>
      <c r="D232" t="s">
        <v>21</v>
      </c>
      <c r="E232" t="s">
        <v>27</v>
      </c>
      <c r="F232" t="s">
        <v>33</v>
      </c>
      <c r="G232" s="3">
        <v>45402</v>
      </c>
      <c r="H232">
        <v>134</v>
      </c>
      <c r="I232">
        <v>52</v>
      </c>
      <c r="J232" t="str">
        <f>IF(supply_chain_data[[#This Row],[Units Sold]]&gt;supply_chain_data[[#This Row],[Opening Stock]],"Yes","No")</f>
        <v>No</v>
      </c>
      <c r="K232">
        <v>20</v>
      </c>
      <c r="L232">
        <f>supply_chain_data[[#This Row],[Opening Stock]]+supply_chain_data[[#This Row],[Units Received]]-supply_chain_data[[#This Row],[Units Sold]]</f>
        <v>102</v>
      </c>
      <c r="M232">
        <v>102</v>
      </c>
      <c r="N232">
        <v>67</v>
      </c>
      <c r="O232" s="2">
        <v>70</v>
      </c>
      <c r="P232">
        <v>13</v>
      </c>
      <c r="Q232">
        <v>8</v>
      </c>
      <c r="R23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232" t="s">
        <v>24</v>
      </c>
      <c r="T232">
        <v>68</v>
      </c>
      <c r="U232" s="5">
        <f>MAX(0,MIN(1,1-ABS(supply_chain_data[[#This Row],[Forecast Demand]]-supply_chain_data[[#This Row],[Units Sold]])/supply_chain_data[[#This Row],[Forecast Demand]]))</f>
        <v>0.76470588235294112</v>
      </c>
      <c r="V232" s="4">
        <f>supply_chain_data[[#This Row],[Closing Stock]]/supply_chain_data[[#This Row],[Forecast Demand]]</f>
        <v>1.5</v>
      </c>
      <c r="W232">
        <v>7140</v>
      </c>
    </row>
    <row r="233" spans="1:23" x14ac:dyDescent="0.35">
      <c r="A233" t="s">
        <v>28</v>
      </c>
      <c r="B233" t="s">
        <v>29</v>
      </c>
      <c r="C233" t="s">
        <v>20</v>
      </c>
      <c r="D233" t="s">
        <v>31</v>
      </c>
      <c r="E233" t="s">
        <v>47</v>
      </c>
      <c r="F233" t="s">
        <v>30</v>
      </c>
      <c r="G233" s="3">
        <v>45403</v>
      </c>
      <c r="H233">
        <v>211</v>
      </c>
      <c r="I233">
        <v>35</v>
      </c>
      <c r="J233" t="str">
        <f>IF(supply_chain_data[[#This Row],[Units Sold]]&gt;supply_chain_data[[#This Row],[Opening Stock]],"Yes","No")</f>
        <v>No</v>
      </c>
      <c r="K233">
        <v>30</v>
      </c>
      <c r="L233">
        <f>supply_chain_data[[#This Row],[Opening Stock]]+supply_chain_data[[#This Row],[Units Received]]-supply_chain_data[[#This Row],[Units Sold]]</f>
        <v>206</v>
      </c>
      <c r="M233">
        <v>206</v>
      </c>
      <c r="N233">
        <v>97</v>
      </c>
      <c r="O233" s="2">
        <v>1150</v>
      </c>
      <c r="P233">
        <v>8</v>
      </c>
      <c r="Q233">
        <v>1</v>
      </c>
      <c r="R23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33" t="s">
        <v>24</v>
      </c>
      <c r="T233">
        <v>29</v>
      </c>
      <c r="U233" s="5">
        <f>MAX(0,MIN(1,1-ABS(supply_chain_data[[#This Row],[Forecast Demand]]-supply_chain_data[[#This Row],[Units Sold]])/supply_chain_data[[#This Row],[Forecast Demand]]))</f>
        <v>0.7931034482758621</v>
      </c>
      <c r="V233" s="4">
        <f>supply_chain_data[[#This Row],[Closing Stock]]/supply_chain_data[[#This Row],[Forecast Demand]]</f>
        <v>7.1034482758620694</v>
      </c>
      <c r="W233">
        <v>236900</v>
      </c>
    </row>
    <row r="234" spans="1:23" hidden="1" x14ac:dyDescent="0.35">
      <c r="A234" t="s">
        <v>28</v>
      </c>
      <c r="B234" t="s">
        <v>29</v>
      </c>
      <c r="C234" t="s">
        <v>20</v>
      </c>
      <c r="D234" t="s">
        <v>43</v>
      </c>
      <c r="E234" t="s">
        <v>44</v>
      </c>
      <c r="F234" t="s">
        <v>23</v>
      </c>
      <c r="G234" s="3">
        <v>45404</v>
      </c>
      <c r="H234">
        <v>76</v>
      </c>
      <c r="I234">
        <v>37</v>
      </c>
      <c r="J234" t="str">
        <f>IF(supply_chain_data[[#This Row],[Units Sold]]&gt;supply_chain_data[[#This Row],[Opening Stock]],"Yes","No")</f>
        <v>No</v>
      </c>
      <c r="K234">
        <v>1</v>
      </c>
      <c r="L234">
        <f>supply_chain_data[[#This Row],[Opening Stock]]+supply_chain_data[[#This Row],[Units Received]]-supply_chain_data[[#This Row],[Units Sold]]</f>
        <v>40</v>
      </c>
      <c r="M234">
        <v>40</v>
      </c>
      <c r="N234">
        <v>89</v>
      </c>
      <c r="O234" s="2">
        <v>377</v>
      </c>
      <c r="P234">
        <v>9</v>
      </c>
      <c r="Q234">
        <v>5</v>
      </c>
      <c r="R23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234" t="s">
        <v>36</v>
      </c>
      <c r="T234">
        <v>50</v>
      </c>
      <c r="U234" s="5">
        <f>MAX(0,MIN(1,1-ABS(supply_chain_data[[#This Row],[Forecast Demand]]-supply_chain_data[[#This Row],[Units Sold]])/supply_chain_data[[#This Row],[Forecast Demand]]))</f>
        <v>0.74</v>
      </c>
      <c r="V234" s="4">
        <f>supply_chain_data[[#This Row],[Closing Stock]]/supply_chain_data[[#This Row],[Forecast Demand]]</f>
        <v>0.8</v>
      </c>
      <c r="W234">
        <v>15080</v>
      </c>
    </row>
    <row r="235" spans="1:23" x14ac:dyDescent="0.35">
      <c r="A235" t="s">
        <v>18</v>
      </c>
      <c r="B235" t="s">
        <v>19</v>
      </c>
      <c r="C235" t="s">
        <v>20</v>
      </c>
      <c r="D235" t="s">
        <v>43</v>
      </c>
      <c r="E235" t="s">
        <v>48</v>
      </c>
      <c r="F235" t="s">
        <v>23</v>
      </c>
      <c r="G235" s="3">
        <v>45405</v>
      </c>
      <c r="H235">
        <v>176</v>
      </c>
      <c r="I235">
        <v>42</v>
      </c>
      <c r="J235" t="str">
        <f>IF(supply_chain_data[[#This Row],[Units Sold]]&gt;supply_chain_data[[#This Row],[Opening Stock]],"Yes","No")</f>
        <v>No</v>
      </c>
      <c r="K235">
        <v>35</v>
      </c>
      <c r="L235">
        <f>supply_chain_data[[#This Row],[Opening Stock]]+supply_chain_data[[#This Row],[Units Received]]-supply_chain_data[[#This Row],[Units Sold]]</f>
        <v>169</v>
      </c>
      <c r="M235">
        <v>169</v>
      </c>
      <c r="N235">
        <v>60</v>
      </c>
      <c r="O235" s="2">
        <v>1142</v>
      </c>
      <c r="P235">
        <v>6</v>
      </c>
      <c r="Q235">
        <v>6</v>
      </c>
      <c r="R23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35" t="s">
        <v>24</v>
      </c>
      <c r="T235">
        <v>17</v>
      </c>
      <c r="U235" s="5">
        <f>MAX(0,MIN(1,1-ABS(supply_chain_data[[#This Row],[Forecast Demand]]-supply_chain_data[[#This Row],[Units Sold]])/supply_chain_data[[#This Row],[Forecast Demand]]))</f>
        <v>0</v>
      </c>
      <c r="V235" s="4">
        <f>supply_chain_data[[#This Row],[Closing Stock]]/supply_chain_data[[#This Row],[Forecast Demand]]</f>
        <v>9.9411764705882355</v>
      </c>
      <c r="W235">
        <v>192998</v>
      </c>
    </row>
    <row r="236" spans="1:23" x14ac:dyDescent="0.35">
      <c r="A236" t="s">
        <v>25</v>
      </c>
      <c r="B236" t="s">
        <v>26</v>
      </c>
      <c r="C236" t="s">
        <v>20</v>
      </c>
      <c r="D236" t="s">
        <v>21</v>
      </c>
      <c r="E236" t="s">
        <v>27</v>
      </c>
      <c r="F236" t="s">
        <v>33</v>
      </c>
      <c r="G236" s="3">
        <v>45406</v>
      </c>
      <c r="H236">
        <v>181</v>
      </c>
      <c r="I236">
        <v>34</v>
      </c>
      <c r="J236" t="str">
        <f>IF(supply_chain_data[[#This Row],[Units Sold]]&gt;supply_chain_data[[#This Row],[Opening Stock]],"Yes","No")</f>
        <v>No</v>
      </c>
      <c r="K236">
        <v>67</v>
      </c>
      <c r="L236">
        <f>supply_chain_data[[#This Row],[Opening Stock]]+supply_chain_data[[#This Row],[Units Received]]-supply_chain_data[[#This Row],[Units Sold]]</f>
        <v>214</v>
      </c>
      <c r="M236">
        <v>214</v>
      </c>
      <c r="N236">
        <v>40</v>
      </c>
      <c r="O236" s="2">
        <v>852</v>
      </c>
      <c r="P236">
        <v>10</v>
      </c>
      <c r="Q236">
        <v>6</v>
      </c>
      <c r="R23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36" t="s">
        <v>24</v>
      </c>
      <c r="T236">
        <v>16</v>
      </c>
      <c r="U236" s="5">
        <f>MAX(0,MIN(1,1-ABS(supply_chain_data[[#This Row],[Forecast Demand]]-supply_chain_data[[#This Row],[Units Sold]])/supply_chain_data[[#This Row],[Forecast Demand]]))</f>
        <v>0</v>
      </c>
      <c r="V236" s="4">
        <f>supply_chain_data[[#This Row],[Closing Stock]]/supply_chain_data[[#This Row],[Forecast Demand]]</f>
        <v>13.375</v>
      </c>
      <c r="W236">
        <v>182328</v>
      </c>
    </row>
    <row r="237" spans="1:23" hidden="1" x14ac:dyDescent="0.35">
      <c r="A237" t="s">
        <v>25</v>
      </c>
      <c r="B237" t="s">
        <v>26</v>
      </c>
      <c r="C237" t="s">
        <v>20</v>
      </c>
      <c r="D237" t="s">
        <v>39</v>
      </c>
      <c r="E237" t="s">
        <v>45</v>
      </c>
      <c r="F237" t="s">
        <v>30</v>
      </c>
      <c r="G237" s="3">
        <v>45407</v>
      </c>
      <c r="H237">
        <v>232</v>
      </c>
      <c r="I237">
        <v>50</v>
      </c>
      <c r="J237" t="str">
        <f>IF(supply_chain_data[[#This Row],[Units Sold]]&gt;supply_chain_data[[#This Row],[Opening Stock]],"Yes","No")</f>
        <v>No</v>
      </c>
      <c r="K237">
        <v>42</v>
      </c>
      <c r="L237">
        <f>supply_chain_data[[#This Row],[Opening Stock]]+supply_chain_data[[#This Row],[Units Received]]-supply_chain_data[[#This Row],[Units Sold]]</f>
        <v>224</v>
      </c>
      <c r="M237">
        <v>224</v>
      </c>
      <c r="N237">
        <v>58</v>
      </c>
      <c r="O237" s="2">
        <v>900</v>
      </c>
      <c r="P237">
        <v>8</v>
      </c>
      <c r="Q237">
        <v>2</v>
      </c>
      <c r="R23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37" t="s">
        <v>24</v>
      </c>
      <c r="T237">
        <v>59</v>
      </c>
      <c r="U237" s="5">
        <f>MAX(0,MIN(1,1-ABS(supply_chain_data[[#This Row],[Forecast Demand]]-supply_chain_data[[#This Row],[Units Sold]])/supply_chain_data[[#This Row],[Forecast Demand]]))</f>
        <v>0.84745762711864403</v>
      </c>
      <c r="V237" s="4">
        <f>supply_chain_data[[#This Row],[Closing Stock]]/supply_chain_data[[#This Row],[Forecast Demand]]</f>
        <v>3.7966101694915255</v>
      </c>
      <c r="W237">
        <v>201600</v>
      </c>
    </row>
    <row r="238" spans="1:23" hidden="1" x14ac:dyDescent="0.35">
      <c r="A238" t="s">
        <v>25</v>
      </c>
      <c r="B238" t="s">
        <v>26</v>
      </c>
      <c r="C238" t="s">
        <v>20</v>
      </c>
      <c r="D238" t="s">
        <v>21</v>
      </c>
      <c r="E238" t="s">
        <v>22</v>
      </c>
      <c r="F238" t="s">
        <v>30</v>
      </c>
      <c r="G238" s="3">
        <v>45408</v>
      </c>
      <c r="H238">
        <v>82</v>
      </c>
      <c r="I238">
        <v>33</v>
      </c>
      <c r="J238" t="str">
        <f>IF(supply_chain_data[[#This Row],[Units Sold]]&gt;supply_chain_data[[#This Row],[Opening Stock]],"Yes","No")</f>
        <v>No</v>
      </c>
      <c r="K238">
        <v>16</v>
      </c>
      <c r="L238">
        <f>supply_chain_data[[#This Row],[Opening Stock]]+supply_chain_data[[#This Row],[Units Received]]-supply_chain_data[[#This Row],[Units Sold]]</f>
        <v>65</v>
      </c>
      <c r="M238">
        <v>65</v>
      </c>
      <c r="N238">
        <v>87</v>
      </c>
      <c r="O238" s="2">
        <v>154</v>
      </c>
      <c r="P238">
        <v>3</v>
      </c>
      <c r="Q238">
        <v>7</v>
      </c>
      <c r="R23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238" t="s">
        <v>36</v>
      </c>
      <c r="T238">
        <v>57</v>
      </c>
      <c r="U238" s="5">
        <f>MAX(0,MIN(1,1-ABS(supply_chain_data[[#This Row],[Forecast Demand]]-supply_chain_data[[#This Row],[Units Sold]])/supply_chain_data[[#This Row],[Forecast Demand]]))</f>
        <v>0.57894736842105265</v>
      </c>
      <c r="V238" s="4">
        <f>supply_chain_data[[#This Row],[Closing Stock]]/supply_chain_data[[#This Row],[Forecast Demand]]</f>
        <v>1.1403508771929824</v>
      </c>
      <c r="W238">
        <v>10010</v>
      </c>
    </row>
    <row r="239" spans="1:23" x14ac:dyDescent="0.35">
      <c r="A239" t="s">
        <v>41</v>
      </c>
      <c r="B239" t="s">
        <v>42</v>
      </c>
      <c r="C239" t="s">
        <v>20</v>
      </c>
      <c r="D239" t="s">
        <v>37</v>
      </c>
      <c r="E239" t="s">
        <v>46</v>
      </c>
      <c r="F239" t="s">
        <v>23</v>
      </c>
      <c r="G239" s="3">
        <v>45409</v>
      </c>
      <c r="H239">
        <v>284</v>
      </c>
      <c r="I239">
        <v>29</v>
      </c>
      <c r="J239" t="str">
        <f>IF(supply_chain_data[[#This Row],[Units Sold]]&gt;supply_chain_data[[#This Row],[Opening Stock]],"Yes","No")</f>
        <v>No</v>
      </c>
      <c r="K239">
        <v>9</v>
      </c>
      <c r="L239">
        <f>supply_chain_data[[#This Row],[Opening Stock]]+supply_chain_data[[#This Row],[Units Received]]-supply_chain_data[[#This Row],[Units Sold]]</f>
        <v>264</v>
      </c>
      <c r="M239">
        <v>264</v>
      </c>
      <c r="N239">
        <v>55</v>
      </c>
      <c r="O239" s="2">
        <v>548</v>
      </c>
      <c r="P239">
        <v>6</v>
      </c>
      <c r="Q239">
        <v>8</v>
      </c>
      <c r="R23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39" t="s">
        <v>24</v>
      </c>
      <c r="T239">
        <v>29</v>
      </c>
      <c r="U239" s="5">
        <f>MAX(0,MIN(1,1-ABS(supply_chain_data[[#This Row],[Forecast Demand]]-supply_chain_data[[#This Row],[Units Sold]])/supply_chain_data[[#This Row],[Forecast Demand]]))</f>
        <v>1</v>
      </c>
      <c r="V239" s="4">
        <f>supply_chain_data[[#This Row],[Closing Stock]]/supply_chain_data[[#This Row],[Forecast Demand]]</f>
        <v>9.1034482758620694</v>
      </c>
      <c r="W239">
        <v>144672</v>
      </c>
    </row>
    <row r="240" spans="1:23" hidden="1" x14ac:dyDescent="0.35">
      <c r="A240" t="s">
        <v>41</v>
      </c>
      <c r="B240" t="s">
        <v>42</v>
      </c>
      <c r="C240" t="s">
        <v>20</v>
      </c>
      <c r="D240" t="s">
        <v>37</v>
      </c>
      <c r="E240" t="s">
        <v>46</v>
      </c>
      <c r="F240" t="s">
        <v>23</v>
      </c>
      <c r="G240" s="3">
        <v>45410</v>
      </c>
      <c r="H240">
        <v>104</v>
      </c>
      <c r="I240">
        <v>9</v>
      </c>
      <c r="J240" t="str">
        <f>IF(supply_chain_data[[#This Row],[Units Sold]]&gt;supply_chain_data[[#This Row],[Opening Stock]],"Yes","No")</f>
        <v>No</v>
      </c>
      <c r="K240">
        <v>57</v>
      </c>
      <c r="L240">
        <f>supply_chain_data[[#This Row],[Opening Stock]]+supply_chain_data[[#This Row],[Units Received]]-supply_chain_data[[#This Row],[Units Sold]]</f>
        <v>152</v>
      </c>
      <c r="M240">
        <v>152</v>
      </c>
      <c r="N240">
        <v>53</v>
      </c>
      <c r="O240" s="2">
        <v>442</v>
      </c>
      <c r="P240">
        <v>10</v>
      </c>
      <c r="Q240">
        <v>8</v>
      </c>
      <c r="R24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40" t="s">
        <v>24</v>
      </c>
      <c r="T240">
        <v>48</v>
      </c>
      <c r="U240" s="5">
        <f>MAX(0,MIN(1,1-ABS(supply_chain_data[[#This Row],[Forecast Demand]]-supply_chain_data[[#This Row],[Units Sold]])/supply_chain_data[[#This Row],[Forecast Demand]]))</f>
        <v>0.1875</v>
      </c>
      <c r="V240" s="4">
        <f>supply_chain_data[[#This Row],[Closing Stock]]/supply_chain_data[[#This Row],[Forecast Demand]]</f>
        <v>3.1666666666666665</v>
      </c>
      <c r="W240">
        <v>67184</v>
      </c>
    </row>
    <row r="241" spans="1:23" x14ac:dyDescent="0.35">
      <c r="A241" t="s">
        <v>18</v>
      </c>
      <c r="B241" t="s">
        <v>19</v>
      </c>
      <c r="C241" t="s">
        <v>20</v>
      </c>
      <c r="D241" t="s">
        <v>37</v>
      </c>
      <c r="E241" t="s">
        <v>46</v>
      </c>
      <c r="F241" t="s">
        <v>23</v>
      </c>
      <c r="G241" s="3">
        <v>45411</v>
      </c>
      <c r="H241">
        <v>179</v>
      </c>
      <c r="I241">
        <v>43</v>
      </c>
      <c r="J241" t="str">
        <f>IF(supply_chain_data[[#This Row],[Units Sold]]&gt;supply_chain_data[[#This Row],[Opening Stock]],"Yes","No")</f>
        <v>No</v>
      </c>
      <c r="K241">
        <v>29</v>
      </c>
      <c r="L241">
        <f>supply_chain_data[[#This Row],[Opening Stock]]+supply_chain_data[[#This Row],[Units Received]]-supply_chain_data[[#This Row],[Units Sold]]</f>
        <v>165</v>
      </c>
      <c r="M241">
        <v>165</v>
      </c>
      <c r="N241">
        <v>68</v>
      </c>
      <c r="O241" s="2">
        <v>1290</v>
      </c>
      <c r="P241">
        <v>6</v>
      </c>
      <c r="Q241">
        <v>3</v>
      </c>
      <c r="R24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41" t="s">
        <v>24</v>
      </c>
      <c r="T241">
        <v>30</v>
      </c>
      <c r="U241" s="5">
        <f>MAX(0,MIN(1,1-ABS(supply_chain_data[[#This Row],[Forecast Demand]]-supply_chain_data[[#This Row],[Units Sold]])/supply_chain_data[[#This Row],[Forecast Demand]]))</f>
        <v>0.56666666666666665</v>
      </c>
      <c r="V241" s="4">
        <f>supply_chain_data[[#This Row],[Closing Stock]]/supply_chain_data[[#This Row],[Forecast Demand]]</f>
        <v>5.5</v>
      </c>
      <c r="W241">
        <v>212850</v>
      </c>
    </row>
    <row r="242" spans="1:23" x14ac:dyDescent="0.35">
      <c r="A242" t="s">
        <v>25</v>
      </c>
      <c r="B242" t="s">
        <v>26</v>
      </c>
      <c r="C242" t="s">
        <v>20</v>
      </c>
      <c r="D242" t="s">
        <v>43</v>
      </c>
      <c r="E242" t="s">
        <v>48</v>
      </c>
      <c r="F242" t="s">
        <v>30</v>
      </c>
      <c r="G242" s="3">
        <v>45292</v>
      </c>
      <c r="H242">
        <v>178</v>
      </c>
      <c r="I242">
        <v>12</v>
      </c>
      <c r="J242" t="str">
        <f>IF(supply_chain_data[[#This Row],[Units Sold]]&gt;supply_chain_data[[#This Row],[Opening Stock]],"Yes","No")</f>
        <v>No</v>
      </c>
      <c r="K242">
        <v>70</v>
      </c>
      <c r="L242">
        <f>supply_chain_data[[#This Row],[Opening Stock]]+supply_chain_data[[#This Row],[Units Received]]-supply_chain_data[[#This Row],[Units Sold]]</f>
        <v>236</v>
      </c>
      <c r="M242">
        <v>236</v>
      </c>
      <c r="N242">
        <v>94</v>
      </c>
      <c r="O242" s="2">
        <v>1226</v>
      </c>
      <c r="P242">
        <v>8</v>
      </c>
      <c r="Q242">
        <v>2</v>
      </c>
      <c r="R24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42" t="s">
        <v>24</v>
      </c>
      <c r="T242">
        <v>28</v>
      </c>
      <c r="U242" s="5">
        <f>MAX(0,MIN(1,1-ABS(supply_chain_data[[#This Row],[Forecast Demand]]-supply_chain_data[[#This Row],[Units Sold]])/supply_chain_data[[#This Row],[Forecast Demand]]))</f>
        <v>0.4285714285714286</v>
      </c>
      <c r="V242" s="4">
        <f>supply_chain_data[[#This Row],[Closing Stock]]/supply_chain_data[[#This Row],[Forecast Demand]]</f>
        <v>8.4285714285714288</v>
      </c>
      <c r="W242">
        <v>289336</v>
      </c>
    </row>
    <row r="243" spans="1:23" hidden="1" x14ac:dyDescent="0.35">
      <c r="A243" t="s">
        <v>25</v>
      </c>
      <c r="B243" t="s">
        <v>26</v>
      </c>
      <c r="C243" t="s">
        <v>20</v>
      </c>
      <c r="D243" t="s">
        <v>21</v>
      </c>
      <c r="E243" t="s">
        <v>22</v>
      </c>
      <c r="F243" t="s">
        <v>30</v>
      </c>
      <c r="G243" s="3">
        <v>45293</v>
      </c>
      <c r="H243">
        <v>66</v>
      </c>
      <c r="I243">
        <v>43</v>
      </c>
      <c r="J243" t="str">
        <f>IF(supply_chain_data[[#This Row],[Units Sold]]&gt;supply_chain_data[[#This Row],[Opening Stock]],"Yes","No")</f>
        <v>No</v>
      </c>
      <c r="K243">
        <v>43</v>
      </c>
      <c r="L243">
        <f>supply_chain_data[[#This Row],[Opening Stock]]+supply_chain_data[[#This Row],[Units Received]]-supply_chain_data[[#This Row],[Units Sold]]</f>
        <v>66</v>
      </c>
      <c r="M243">
        <v>66</v>
      </c>
      <c r="N243">
        <v>90</v>
      </c>
      <c r="O243" s="2">
        <v>1181</v>
      </c>
      <c r="P243">
        <v>3</v>
      </c>
      <c r="Q243">
        <v>6</v>
      </c>
      <c r="R24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243" t="s">
        <v>36</v>
      </c>
      <c r="T243">
        <v>48</v>
      </c>
      <c r="U243" s="5">
        <f>MAX(0,MIN(1,1-ABS(supply_chain_data[[#This Row],[Forecast Demand]]-supply_chain_data[[#This Row],[Units Sold]])/supply_chain_data[[#This Row],[Forecast Demand]]))</f>
        <v>0.89583333333333337</v>
      </c>
      <c r="V243" s="4">
        <f>supply_chain_data[[#This Row],[Closing Stock]]/supply_chain_data[[#This Row],[Forecast Demand]]</f>
        <v>1.375</v>
      </c>
      <c r="W243">
        <v>77946</v>
      </c>
    </row>
    <row r="244" spans="1:23" hidden="1" x14ac:dyDescent="0.35">
      <c r="A244" t="s">
        <v>41</v>
      </c>
      <c r="B244" t="s">
        <v>42</v>
      </c>
      <c r="C244" t="s">
        <v>20</v>
      </c>
      <c r="D244" t="s">
        <v>31</v>
      </c>
      <c r="E244" t="s">
        <v>47</v>
      </c>
      <c r="F244" t="s">
        <v>30</v>
      </c>
      <c r="G244" s="3">
        <v>45294</v>
      </c>
      <c r="H244">
        <v>91</v>
      </c>
      <c r="I244">
        <v>59</v>
      </c>
      <c r="J244" t="str">
        <f>IF(supply_chain_data[[#This Row],[Units Sold]]&gt;supply_chain_data[[#This Row],[Opening Stock]],"Yes","No")</f>
        <v>No</v>
      </c>
      <c r="K244">
        <v>12</v>
      </c>
      <c r="L244">
        <f>supply_chain_data[[#This Row],[Opening Stock]]+supply_chain_data[[#This Row],[Units Received]]-supply_chain_data[[#This Row],[Units Sold]]</f>
        <v>44</v>
      </c>
      <c r="M244">
        <v>44</v>
      </c>
      <c r="N244">
        <v>40</v>
      </c>
      <c r="O244" s="2">
        <v>224</v>
      </c>
      <c r="P244">
        <v>4</v>
      </c>
      <c r="Q244">
        <v>1</v>
      </c>
      <c r="R24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244" t="s">
        <v>24</v>
      </c>
      <c r="T244">
        <v>27</v>
      </c>
      <c r="U244" s="5">
        <f>MAX(0,MIN(1,1-ABS(supply_chain_data[[#This Row],[Forecast Demand]]-supply_chain_data[[#This Row],[Units Sold]])/supply_chain_data[[#This Row],[Forecast Demand]]))</f>
        <v>0</v>
      </c>
      <c r="V244" s="4">
        <f>supply_chain_data[[#This Row],[Closing Stock]]/supply_chain_data[[#This Row],[Forecast Demand]]</f>
        <v>1.6296296296296295</v>
      </c>
      <c r="W244">
        <v>9856</v>
      </c>
    </row>
    <row r="245" spans="1:23" x14ac:dyDescent="0.35">
      <c r="A245" t="s">
        <v>25</v>
      </c>
      <c r="B245" t="s">
        <v>26</v>
      </c>
      <c r="C245" t="s">
        <v>20</v>
      </c>
      <c r="D245" t="s">
        <v>37</v>
      </c>
      <c r="E245" t="s">
        <v>46</v>
      </c>
      <c r="F245" t="s">
        <v>30</v>
      </c>
      <c r="G245" s="3">
        <v>45295</v>
      </c>
      <c r="H245">
        <v>125</v>
      </c>
      <c r="I245">
        <v>5</v>
      </c>
      <c r="J245" t="str">
        <f>IF(supply_chain_data[[#This Row],[Units Sold]]&gt;supply_chain_data[[#This Row],[Opening Stock]],"Yes","No")</f>
        <v>No</v>
      </c>
      <c r="K245">
        <v>58</v>
      </c>
      <c r="L245">
        <f>supply_chain_data[[#This Row],[Opening Stock]]+supply_chain_data[[#This Row],[Units Received]]-supply_chain_data[[#This Row],[Units Sold]]</f>
        <v>178</v>
      </c>
      <c r="M245">
        <v>178</v>
      </c>
      <c r="N245">
        <v>78</v>
      </c>
      <c r="O245" s="2">
        <v>1153</v>
      </c>
      <c r="P245">
        <v>7</v>
      </c>
      <c r="Q245">
        <v>9</v>
      </c>
      <c r="R24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45" t="s">
        <v>24</v>
      </c>
      <c r="T245">
        <v>43</v>
      </c>
      <c r="U245" s="5">
        <f>MAX(0,MIN(1,1-ABS(supply_chain_data[[#This Row],[Forecast Demand]]-supply_chain_data[[#This Row],[Units Sold]])/supply_chain_data[[#This Row],[Forecast Demand]]))</f>
        <v>0.11627906976744184</v>
      </c>
      <c r="V245" s="4">
        <f>supply_chain_data[[#This Row],[Closing Stock]]/supply_chain_data[[#This Row],[Forecast Demand]]</f>
        <v>4.1395348837209305</v>
      </c>
      <c r="W245">
        <v>205234</v>
      </c>
    </row>
    <row r="246" spans="1:23" hidden="1" x14ac:dyDescent="0.35">
      <c r="A246" t="s">
        <v>25</v>
      </c>
      <c r="B246" t="s">
        <v>26</v>
      </c>
      <c r="C246" t="s">
        <v>20</v>
      </c>
      <c r="D246" t="s">
        <v>31</v>
      </c>
      <c r="E246" t="s">
        <v>32</v>
      </c>
      <c r="F246" t="s">
        <v>33</v>
      </c>
      <c r="G246" s="3">
        <v>45296</v>
      </c>
      <c r="H246">
        <v>163</v>
      </c>
      <c r="I246">
        <v>21</v>
      </c>
      <c r="J246" t="str">
        <f>IF(supply_chain_data[[#This Row],[Units Sold]]&gt;supply_chain_data[[#This Row],[Opening Stock]],"Yes","No")</f>
        <v>No</v>
      </c>
      <c r="K246">
        <v>28</v>
      </c>
      <c r="L246">
        <f>supply_chain_data[[#This Row],[Opening Stock]]+supply_chain_data[[#This Row],[Units Received]]-supply_chain_data[[#This Row],[Units Sold]]</f>
        <v>170</v>
      </c>
      <c r="M246">
        <v>170</v>
      </c>
      <c r="N246">
        <v>97</v>
      </c>
      <c r="O246" s="2">
        <v>171</v>
      </c>
      <c r="P246">
        <v>6</v>
      </c>
      <c r="Q246">
        <v>4</v>
      </c>
      <c r="R24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46" t="s">
        <v>24</v>
      </c>
      <c r="T246">
        <v>49</v>
      </c>
      <c r="U246" s="5">
        <f>MAX(0,MIN(1,1-ABS(supply_chain_data[[#This Row],[Forecast Demand]]-supply_chain_data[[#This Row],[Units Sold]])/supply_chain_data[[#This Row],[Forecast Demand]]))</f>
        <v>0.4285714285714286</v>
      </c>
      <c r="V246" s="4">
        <f>supply_chain_data[[#This Row],[Closing Stock]]/supply_chain_data[[#This Row],[Forecast Demand]]</f>
        <v>3.4693877551020407</v>
      </c>
      <c r="W246">
        <v>29070</v>
      </c>
    </row>
    <row r="247" spans="1:23" x14ac:dyDescent="0.35">
      <c r="A247" t="s">
        <v>25</v>
      </c>
      <c r="B247" t="s">
        <v>26</v>
      </c>
      <c r="C247" t="s">
        <v>20</v>
      </c>
      <c r="D247" t="s">
        <v>21</v>
      </c>
      <c r="E247" t="s">
        <v>27</v>
      </c>
      <c r="F247" t="s">
        <v>33</v>
      </c>
      <c r="G247" s="3">
        <v>45297</v>
      </c>
      <c r="H247">
        <v>162</v>
      </c>
      <c r="I247">
        <v>14</v>
      </c>
      <c r="J247" t="str">
        <f>IF(supply_chain_data[[#This Row],[Units Sold]]&gt;supply_chain_data[[#This Row],[Opening Stock]],"Yes","No")</f>
        <v>No</v>
      </c>
      <c r="K247">
        <v>71</v>
      </c>
      <c r="L247">
        <f>supply_chain_data[[#This Row],[Opening Stock]]+supply_chain_data[[#This Row],[Units Received]]-supply_chain_data[[#This Row],[Units Sold]]</f>
        <v>219</v>
      </c>
      <c r="M247">
        <v>219</v>
      </c>
      <c r="N247">
        <v>88</v>
      </c>
      <c r="O247" s="2">
        <v>671</v>
      </c>
      <c r="P247">
        <v>7</v>
      </c>
      <c r="Q247">
        <v>7</v>
      </c>
      <c r="R24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47" t="s">
        <v>24</v>
      </c>
      <c r="T247">
        <v>26</v>
      </c>
      <c r="U247" s="5">
        <f>MAX(0,MIN(1,1-ABS(supply_chain_data[[#This Row],[Forecast Demand]]-supply_chain_data[[#This Row],[Units Sold]])/supply_chain_data[[#This Row],[Forecast Demand]]))</f>
        <v>0.53846153846153844</v>
      </c>
      <c r="V247" s="4">
        <f>supply_chain_data[[#This Row],[Closing Stock]]/supply_chain_data[[#This Row],[Forecast Demand]]</f>
        <v>8.4230769230769234</v>
      </c>
      <c r="W247">
        <v>146949</v>
      </c>
    </row>
    <row r="248" spans="1:23" hidden="1" x14ac:dyDescent="0.35">
      <c r="A248" t="s">
        <v>41</v>
      </c>
      <c r="B248" t="s">
        <v>42</v>
      </c>
      <c r="C248" t="s">
        <v>20</v>
      </c>
      <c r="D248" t="s">
        <v>37</v>
      </c>
      <c r="E248" t="s">
        <v>46</v>
      </c>
      <c r="F248" t="s">
        <v>23</v>
      </c>
      <c r="G248" s="3">
        <v>45298</v>
      </c>
      <c r="H248">
        <v>182</v>
      </c>
      <c r="I248">
        <v>60</v>
      </c>
      <c r="J248" t="str">
        <f>IF(supply_chain_data[[#This Row],[Units Sold]]&gt;supply_chain_data[[#This Row],[Opening Stock]],"Yes","No")</f>
        <v>No</v>
      </c>
      <c r="K248">
        <v>13</v>
      </c>
      <c r="L248">
        <f>supply_chain_data[[#This Row],[Opening Stock]]+supply_chain_data[[#This Row],[Units Received]]-supply_chain_data[[#This Row],[Units Sold]]</f>
        <v>135</v>
      </c>
      <c r="M248">
        <v>135</v>
      </c>
      <c r="N248">
        <v>61</v>
      </c>
      <c r="O248" s="2">
        <v>599</v>
      </c>
      <c r="P248">
        <v>13</v>
      </c>
      <c r="Q248">
        <v>8</v>
      </c>
      <c r="R24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48" t="s">
        <v>24</v>
      </c>
      <c r="T248">
        <v>35</v>
      </c>
      <c r="U248" s="5">
        <f>MAX(0,MIN(1,1-ABS(supply_chain_data[[#This Row],[Forecast Demand]]-supply_chain_data[[#This Row],[Units Sold]])/supply_chain_data[[#This Row],[Forecast Demand]]))</f>
        <v>0.2857142857142857</v>
      </c>
      <c r="V248" s="4">
        <f>supply_chain_data[[#This Row],[Closing Stock]]/supply_chain_data[[#This Row],[Forecast Demand]]</f>
        <v>3.8571428571428572</v>
      </c>
      <c r="W248">
        <v>80865</v>
      </c>
    </row>
    <row r="249" spans="1:23" x14ac:dyDescent="0.35">
      <c r="A249" t="s">
        <v>41</v>
      </c>
      <c r="B249" t="s">
        <v>42</v>
      </c>
      <c r="C249" t="s">
        <v>20</v>
      </c>
      <c r="D249" t="s">
        <v>43</v>
      </c>
      <c r="E249" t="s">
        <v>48</v>
      </c>
      <c r="F249" t="s">
        <v>30</v>
      </c>
      <c r="G249" s="3">
        <v>45299</v>
      </c>
      <c r="H249">
        <v>259</v>
      </c>
      <c r="I249">
        <v>42</v>
      </c>
      <c r="J249" t="str">
        <f>IF(supply_chain_data[[#This Row],[Units Sold]]&gt;supply_chain_data[[#This Row],[Opening Stock]],"Yes","No")</f>
        <v>No</v>
      </c>
      <c r="K249">
        <v>0</v>
      </c>
      <c r="L249">
        <f>supply_chain_data[[#This Row],[Opening Stock]]+supply_chain_data[[#This Row],[Units Received]]-supply_chain_data[[#This Row],[Units Sold]]</f>
        <v>217</v>
      </c>
      <c r="M249">
        <v>217</v>
      </c>
      <c r="N249">
        <v>89</v>
      </c>
      <c r="O249" s="2">
        <v>704</v>
      </c>
      <c r="P249">
        <v>11</v>
      </c>
      <c r="Q249">
        <v>7</v>
      </c>
      <c r="R24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49" t="s">
        <v>24</v>
      </c>
      <c r="T249">
        <v>15</v>
      </c>
      <c r="U249" s="5">
        <f>MAX(0,MIN(1,1-ABS(supply_chain_data[[#This Row],[Forecast Demand]]-supply_chain_data[[#This Row],[Units Sold]])/supply_chain_data[[#This Row],[Forecast Demand]]))</f>
        <v>0</v>
      </c>
      <c r="V249" s="4">
        <f>supply_chain_data[[#This Row],[Closing Stock]]/supply_chain_data[[#This Row],[Forecast Demand]]</f>
        <v>14.466666666666667</v>
      </c>
      <c r="W249">
        <v>152768</v>
      </c>
    </row>
    <row r="250" spans="1:23" x14ac:dyDescent="0.35">
      <c r="A250" t="s">
        <v>34</v>
      </c>
      <c r="B250" t="s">
        <v>35</v>
      </c>
      <c r="C250" t="s">
        <v>20</v>
      </c>
      <c r="D250" t="s">
        <v>21</v>
      </c>
      <c r="E250" t="s">
        <v>27</v>
      </c>
      <c r="F250" t="s">
        <v>33</v>
      </c>
      <c r="G250" s="3">
        <v>45300</v>
      </c>
      <c r="H250">
        <v>249</v>
      </c>
      <c r="I250">
        <v>12</v>
      </c>
      <c r="J250" t="str">
        <f>IF(supply_chain_data[[#This Row],[Units Sold]]&gt;supply_chain_data[[#This Row],[Opening Stock]],"Yes","No")</f>
        <v>No</v>
      </c>
      <c r="K250">
        <v>24</v>
      </c>
      <c r="L250">
        <f>supply_chain_data[[#This Row],[Opening Stock]]+supply_chain_data[[#This Row],[Units Received]]-supply_chain_data[[#This Row],[Units Sold]]</f>
        <v>261</v>
      </c>
      <c r="M250">
        <v>261</v>
      </c>
      <c r="N250">
        <v>63</v>
      </c>
      <c r="O250" s="2">
        <v>1169</v>
      </c>
      <c r="P250">
        <v>11</v>
      </c>
      <c r="Q250">
        <v>8</v>
      </c>
      <c r="R25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50" t="s">
        <v>24</v>
      </c>
      <c r="T250">
        <v>13</v>
      </c>
      <c r="U250" s="5">
        <f>MAX(0,MIN(1,1-ABS(supply_chain_data[[#This Row],[Forecast Demand]]-supply_chain_data[[#This Row],[Units Sold]])/supply_chain_data[[#This Row],[Forecast Demand]]))</f>
        <v>0.92307692307692313</v>
      </c>
      <c r="V250" s="4">
        <f>supply_chain_data[[#This Row],[Closing Stock]]/supply_chain_data[[#This Row],[Forecast Demand]]</f>
        <v>20.076923076923077</v>
      </c>
      <c r="W250">
        <v>305109</v>
      </c>
    </row>
    <row r="251" spans="1:23" hidden="1" x14ac:dyDescent="0.35">
      <c r="A251" t="s">
        <v>25</v>
      </c>
      <c r="B251" t="s">
        <v>26</v>
      </c>
      <c r="C251" t="s">
        <v>20</v>
      </c>
      <c r="D251" t="s">
        <v>39</v>
      </c>
      <c r="E251" t="s">
        <v>40</v>
      </c>
      <c r="F251" t="s">
        <v>30</v>
      </c>
      <c r="G251" s="3">
        <v>45301</v>
      </c>
      <c r="H251">
        <v>159</v>
      </c>
      <c r="I251">
        <v>60</v>
      </c>
      <c r="J251" t="str">
        <f>IF(supply_chain_data[[#This Row],[Units Sold]]&gt;supply_chain_data[[#This Row],[Opening Stock]],"Yes","No")</f>
        <v>No</v>
      </c>
      <c r="K251">
        <v>53</v>
      </c>
      <c r="L251">
        <f>supply_chain_data[[#This Row],[Opening Stock]]+supply_chain_data[[#This Row],[Units Received]]-supply_chain_data[[#This Row],[Units Sold]]</f>
        <v>152</v>
      </c>
      <c r="M251">
        <v>152</v>
      </c>
      <c r="N251">
        <v>54</v>
      </c>
      <c r="O251" s="2">
        <v>584</v>
      </c>
      <c r="P251">
        <v>8</v>
      </c>
      <c r="Q251">
        <v>2</v>
      </c>
      <c r="R25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51" t="s">
        <v>24</v>
      </c>
      <c r="T251">
        <v>40</v>
      </c>
      <c r="U251" s="5">
        <f>MAX(0,MIN(1,1-ABS(supply_chain_data[[#This Row],[Forecast Demand]]-supply_chain_data[[#This Row],[Units Sold]])/supply_chain_data[[#This Row],[Forecast Demand]]))</f>
        <v>0.5</v>
      </c>
      <c r="V251" s="4">
        <f>supply_chain_data[[#This Row],[Closing Stock]]/supply_chain_data[[#This Row],[Forecast Demand]]</f>
        <v>3.8</v>
      </c>
      <c r="W251">
        <v>88768</v>
      </c>
    </row>
    <row r="252" spans="1:23" x14ac:dyDescent="0.35">
      <c r="A252" t="s">
        <v>18</v>
      </c>
      <c r="B252" t="s">
        <v>19</v>
      </c>
      <c r="C252" t="s">
        <v>20</v>
      </c>
      <c r="D252" t="s">
        <v>37</v>
      </c>
      <c r="E252" t="s">
        <v>38</v>
      </c>
      <c r="F252" t="s">
        <v>30</v>
      </c>
      <c r="G252" s="3">
        <v>45302</v>
      </c>
      <c r="H252">
        <v>160</v>
      </c>
      <c r="I252">
        <v>28</v>
      </c>
      <c r="J252" t="str">
        <f>IF(supply_chain_data[[#This Row],[Units Sold]]&gt;supply_chain_data[[#This Row],[Opening Stock]],"Yes","No")</f>
        <v>No</v>
      </c>
      <c r="K252">
        <v>48</v>
      </c>
      <c r="L252">
        <f>supply_chain_data[[#This Row],[Opening Stock]]+supply_chain_data[[#This Row],[Units Received]]-supply_chain_data[[#This Row],[Units Sold]]</f>
        <v>180</v>
      </c>
      <c r="M252">
        <v>180</v>
      </c>
      <c r="N252">
        <v>69</v>
      </c>
      <c r="O252" s="2">
        <v>90</v>
      </c>
      <c r="P252">
        <v>13</v>
      </c>
      <c r="Q252">
        <v>3</v>
      </c>
      <c r="R25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52" t="s">
        <v>24</v>
      </c>
      <c r="T252">
        <v>33</v>
      </c>
      <c r="U252" s="5">
        <f>MAX(0,MIN(1,1-ABS(supply_chain_data[[#This Row],[Forecast Demand]]-supply_chain_data[[#This Row],[Units Sold]])/supply_chain_data[[#This Row],[Forecast Demand]]))</f>
        <v>0.84848484848484851</v>
      </c>
      <c r="V252" s="4">
        <f>supply_chain_data[[#This Row],[Closing Stock]]/supply_chain_data[[#This Row],[Forecast Demand]]</f>
        <v>5.4545454545454541</v>
      </c>
      <c r="W252">
        <v>16200</v>
      </c>
    </row>
    <row r="253" spans="1:23" x14ac:dyDescent="0.35">
      <c r="A253" t="s">
        <v>41</v>
      </c>
      <c r="B253" t="s">
        <v>42</v>
      </c>
      <c r="C253" t="s">
        <v>20</v>
      </c>
      <c r="D253" t="s">
        <v>37</v>
      </c>
      <c r="E253" t="s">
        <v>38</v>
      </c>
      <c r="F253" t="s">
        <v>30</v>
      </c>
      <c r="G253" s="3">
        <v>45303</v>
      </c>
      <c r="H253">
        <v>279</v>
      </c>
      <c r="I253">
        <v>8</v>
      </c>
      <c r="J253" t="str">
        <f>IF(supply_chain_data[[#This Row],[Units Sold]]&gt;supply_chain_data[[#This Row],[Opening Stock]],"Yes","No")</f>
        <v>No</v>
      </c>
      <c r="K253">
        <v>76</v>
      </c>
      <c r="L253">
        <f>supply_chain_data[[#This Row],[Opening Stock]]+supply_chain_data[[#This Row],[Units Received]]-supply_chain_data[[#This Row],[Units Sold]]</f>
        <v>347</v>
      </c>
      <c r="M253">
        <v>347</v>
      </c>
      <c r="N253">
        <v>84</v>
      </c>
      <c r="O253" s="2">
        <v>478</v>
      </c>
      <c r="P253">
        <v>10</v>
      </c>
      <c r="Q253">
        <v>3</v>
      </c>
      <c r="R25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53" t="s">
        <v>24</v>
      </c>
      <c r="T253">
        <v>49</v>
      </c>
      <c r="U253" s="5">
        <f>MAX(0,MIN(1,1-ABS(supply_chain_data[[#This Row],[Forecast Demand]]-supply_chain_data[[#This Row],[Units Sold]])/supply_chain_data[[#This Row],[Forecast Demand]]))</f>
        <v>0.16326530612244894</v>
      </c>
      <c r="V253" s="4">
        <f>supply_chain_data[[#This Row],[Closing Stock]]/supply_chain_data[[#This Row],[Forecast Demand]]</f>
        <v>7.0816326530612246</v>
      </c>
      <c r="W253">
        <v>165866</v>
      </c>
    </row>
    <row r="254" spans="1:23" x14ac:dyDescent="0.35">
      <c r="A254" t="s">
        <v>41</v>
      </c>
      <c r="B254" t="s">
        <v>42</v>
      </c>
      <c r="C254" t="s">
        <v>20</v>
      </c>
      <c r="D254" t="s">
        <v>31</v>
      </c>
      <c r="E254" t="s">
        <v>47</v>
      </c>
      <c r="F254" t="s">
        <v>30</v>
      </c>
      <c r="G254" s="3">
        <v>45304</v>
      </c>
      <c r="H254">
        <v>83</v>
      </c>
      <c r="I254">
        <v>30</v>
      </c>
      <c r="J254" t="str">
        <f>IF(supply_chain_data[[#This Row],[Units Sold]]&gt;supply_chain_data[[#This Row],[Opening Stock]],"Yes","No")</f>
        <v>No</v>
      </c>
      <c r="K254">
        <v>65</v>
      </c>
      <c r="L254">
        <f>supply_chain_data[[#This Row],[Opening Stock]]+supply_chain_data[[#This Row],[Units Received]]-supply_chain_data[[#This Row],[Units Sold]]</f>
        <v>118</v>
      </c>
      <c r="M254">
        <v>118</v>
      </c>
      <c r="N254">
        <v>57</v>
      </c>
      <c r="O254" s="2">
        <v>389</v>
      </c>
      <c r="P254">
        <v>14</v>
      </c>
      <c r="Q254">
        <v>4</v>
      </c>
      <c r="R25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54" t="s">
        <v>24</v>
      </c>
      <c r="T254">
        <v>25</v>
      </c>
      <c r="U254" s="5">
        <f>MAX(0,MIN(1,1-ABS(supply_chain_data[[#This Row],[Forecast Demand]]-supply_chain_data[[#This Row],[Units Sold]])/supply_chain_data[[#This Row],[Forecast Demand]]))</f>
        <v>0.8</v>
      </c>
      <c r="V254" s="4">
        <f>supply_chain_data[[#This Row],[Closing Stock]]/supply_chain_data[[#This Row],[Forecast Demand]]</f>
        <v>4.72</v>
      </c>
      <c r="W254">
        <v>45902</v>
      </c>
    </row>
    <row r="255" spans="1:23" x14ac:dyDescent="0.35">
      <c r="A255" t="s">
        <v>28</v>
      </c>
      <c r="B255" t="s">
        <v>29</v>
      </c>
      <c r="C255" t="s">
        <v>20</v>
      </c>
      <c r="D255" t="s">
        <v>39</v>
      </c>
      <c r="E255" t="s">
        <v>40</v>
      </c>
      <c r="F255" t="s">
        <v>33</v>
      </c>
      <c r="G255" s="3">
        <v>45305</v>
      </c>
      <c r="H255">
        <v>181</v>
      </c>
      <c r="I255">
        <v>45</v>
      </c>
      <c r="J255" t="str">
        <f>IF(supply_chain_data[[#This Row],[Units Sold]]&gt;supply_chain_data[[#This Row],[Opening Stock]],"Yes","No")</f>
        <v>No</v>
      </c>
      <c r="K255">
        <v>32</v>
      </c>
      <c r="L255">
        <f>supply_chain_data[[#This Row],[Opening Stock]]+supply_chain_data[[#This Row],[Units Received]]-supply_chain_data[[#This Row],[Units Sold]]</f>
        <v>168</v>
      </c>
      <c r="M255">
        <v>168</v>
      </c>
      <c r="N255">
        <v>51</v>
      </c>
      <c r="O255" s="2">
        <v>972</v>
      </c>
      <c r="P255">
        <v>13</v>
      </c>
      <c r="Q255">
        <v>2</v>
      </c>
      <c r="R25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55" t="s">
        <v>24</v>
      </c>
      <c r="T255">
        <v>19</v>
      </c>
      <c r="U255" s="5">
        <f>MAX(0,MIN(1,1-ABS(supply_chain_data[[#This Row],[Forecast Demand]]-supply_chain_data[[#This Row],[Units Sold]])/supply_chain_data[[#This Row],[Forecast Demand]]))</f>
        <v>0</v>
      </c>
      <c r="V255" s="4">
        <f>supply_chain_data[[#This Row],[Closing Stock]]/supply_chain_data[[#This Row],[Forecast Demand]]</f>
        <v>8.8421052631578956</v>
      </c>
      <c r="W255">
        <v>163296</v>
      </c>
    </row>
    <row r="256" spans="1:23" hidden="1" x14ac:dyDescent="0.35">
      <c r="A256" t="s">
        <v>28</v>
      </c>
      <c r="B256" t="s">
        <v>29</v>
      </c>
      <c r="C256" t="s">
        <v>20</v>
      </c>
      <c r="D256" t="s">
        <v>39</v>
      </c>
      <c r="E256" t="s">
        <v>40</v>
      </c>
      <c r="F256" t="s">
        <v>30</v>
      </c>
      <c r="G256" s="3">
        <v>45306</v>
      </c>
      <c r="H256">
        <v>115</v>
      </c>
      <c r="I256">
        <v>40</v>
      </c>
      <c r="J256" t="str">
        <f>IF(supply_chain_data[[#This Row],[Units Sold]]&gt;supply_chain_data[[#This Row],[Opening Stock]],"Yes","No")</f>
        <v>No</v>
      </c>
      <c r="K256">
        <v>70</v>
      </c>
      <c r="L256">
        <f>supply_chain_data[[#This Row],[Opening Stock]]+supply_chain_data[[#This Row],[Units Received]]-supply_chain_data[[#This Row],[Units Sold]]</f>
        <v>145</v>
      </c>
      <c r="M256">
        <v>145</v>
      </c>
      <c r="N256">
        <v>42</v>
      </c>
      <c r="O256" s="2">
        <v>372</v>
      </c>
      <c r="P256">
        <v>8</v>
      </c>
      <c r="Q256">
        <v>5</v>
      </c>
      <c r="R25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56" t="s">
        <v>24</v>
      </c>
      <c r="T256">
        <v>50</v>
      </c>
      <c r="U256" s="5">
        <f>MAX(0,MIN(1,1-ABS(supply_chain_data[[#This Row],[Forecast Demand]]-supply_chain_data[[#This Row],[Units Sold]])/supply_chain_data[[#This Row],[Forecast Demand]]))</f>
        <v>0.8</v>
      </c>
      <c r="V256" s="4">
        <f>supply_chain_data[[#This Row],[Closing Stock]]/supply_chain_data[[#This Row],[Forecast Demand]]</f>
        <v>2.9</v>
      </c>
      <c r="W256">
        <v>53940</v>
      </c>
    </row>
    <row r="257" spans="1:23" hidden="1" x14ac:dyDescent="0.35">
      <c r="A257" t="s">
        <v>28</v>
      </c>
      <c r="B257" t="s">
        <v>29</v>
      </c>
      <c r="C257" t="s">
        <v>20</v>
      </c>
      <c r="D257" t="s">
        <v>31</v>
      </c>
      <c r="E257" t="s">
        <v>32</v>
      </c>
      <c r="F257" t="s">
        <v>30</v>
      </c>
      <c r="G257" s="3">
        <v>45307</v>
      </c>
      <c r="H257">
        <v>65</v>
      </c>
      <c r="I257">
        <v>55</v>
      </c>
      <c r="J257" t="str">
        <f>IF(supply_chain_data[[#This Row],[Units Sold]]&gt;supply_chain_data[[#This Row],[Opening Stock]],"Yes","No")</f>
        <v>No</v>
      </c>
      <c r="K257">
        <v>15</v>
      </c>
      <c r="L257">
        <f>supply_chain_data[[#This Row],[Opening Stock]]+supply_chain_data[[#This Row],[Units Received]]-supply_chain_data[[#This Row],[Units Sold]]</f>
        <v>25</v>
      </c>
      <c r="M257">
        <v>25</v>
      </c>
      <c r="N257">
        <v>83</v>
      </c>
      <c r="O257" s="2">
        <v>396</v>
      </c>
      <c r="P257">
        <v>7</v>
      </c>
      <c r="Q257">
        <v>9</v>
      </c>
      <c r="R25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257" t="s">
        <v>36</v>
      </c>
      <c r="T257">
        <v>61</v>
      </c>
      <c r="U257" s="5">
        <f>MAX(0,MIN(1,1-ABS(supply_chain_data[[#This Row],[Forecast Demand]]-supply_chain_data[[#This Row],[Units Sold]])/supply_chain_data[[#This Row],[Forecast Demand]]))</f>
        <v>0.90163934426229508</v>
      </c>
      <c r="V257" s="4">
        <f>supply_chain_data[[#This Row],[Closing Stock]]/supply_chain_data[[#This Row],[Forecast Demand]]</f>
        <v>0.4098360655737705</v>
      </c>
      <c r="W257">
        <v>9900</v>
      </c>
    </row>
    <row r="258" spans="1:23" x14ac:dyDescent="0.35">
      <c r="A258" t="s">
        <v>28</v>
      </c>
      <c r="B258" t="s">
        <v>29</v>
      </c>
      <c r="C258" t="s">
        <v>20</v>
      </c>
      <c r="D258" t="s">
        <v>43</v>
      </c>
      <c r="E258" t="s">
        <v>44</v>
      </c>
      <c r="F258" t="s">
        <v>30</v>
      </c>
      <c r="G258" s="3">
        <v>45308</v>
      </c>
      <c r="H258">
        <v>264</v>
      </c>
      <c r="I258">
        <v>58</v>
      </c>
      <c r="J258" t="str">
        <f>IF(supply_chain_data[[#This Row],[Units Sold]]&gt;supply_chain_data[[#This Row],[Opening Stock]],"Yes","No")</f>
        <v>No</v>
      </c>
      <c r="K258">
        <v>54</v>
      </c>
      <c r="L258">
        <f>supply_chain_data[[#This Row],[Opening Stock]]+supply_chain_data[[#This Row],[Units Received]]-supply_chain_data[[#This Row],[Units Sold]]</f>
        <v>260</v>
      </c>
      <c r="M258">
        <v>260</v>
      </c>
      <c r="N258">
        <v>46</v>
      </c>
      <c r="O258" s="2">
        <v>917</v>
      </c>
      <c r="P258">
        <v>9</v>
      </c>
      <c r="Q258">
        <v>0</v>
      </c>
      <c r="R25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58" t="s">
        <v>24</v>
      </c>
      <c r="T258">
        <v>40</v>
      </c>
      <c r="U258" s="5">
        <f>MAX(0,MIN(1,1-ABS(supply_chain_data[[#This Row],[Forecast Demand]]-supply_chain_data[[#This Row],[Units Sold]])/supply_chain_data[[#This Row],[Forecast Demand]]))</f>
        <v>0.55000000000000004</v>
      </c>
      <c r="V258" s="4">
        <f>supply_chain_data[[#This Row],[Closing Stock]]/supply_chain_data[[#This Row],[Forecast Demand]]</f>
        <v>6.5</v>
      </c>
      <c r="W258">
        <v>238420</v>
      </c>
    </row>
    <row r="259" spans="1:23" x14ac:dyDescent="0.35">
      <c r="A259" t="s">
        <v>18</v>
      </c>
      <c r="B259" t="s">
        <v>19</v>
      </c>
      <c r="C259" t="s">
        <v>20</v>
      </c>
      <c r="D259" t="s">
        <v>39</v>
      </c>
      <c r="E259" t="s">
        <v>40</v>
      </c>
      <c r="F259" t="s">
        <v>33</v>
      </c>
      <c r="G259" s="3">
        <v>45309</v>
      </c>
      <c r="H259">
        <v>296</v>
      </c>
      <c r="I259">
        <v>49</v>
      </c>
      <c r="J259" t="str">
        <f>IF(supply_chain_data[[#This Row],[Units Sold]]&gt;supply_chain_data[[#This Row],[Opening Stock]],"Yes","No")</f>
        <v>No</v>
      </c>
      <c r="K259">
        <v>1</v>
      </c>
      <c r="L259">
        <f>supply_chain_data[[#This Row],[Opening Stock]]+supply_chain_data[[#This Row],[Units Received]]-supply_chain_data[[#This Row],[Units Sold]]</f>
        <v>248</v>
      </c>
      <c r="M259">
        <v>248</v>
      </c>
      <c r="N259">
        <v>92</v>
      </c>
      <c r="O259" s="2">
        <v>571</v>
      </c>
      <c r="P259">
        <v>14</v>
      </c>
      <c r="Q259">
        <v>6</v>
      </c>
      <c r="R25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59" t="s">
        <v>24</v>
      </c>
      <c r="T259">
        <v>20</v>
      </c>
      <c r="U259" s="5">
        <f>MAX(0,MIN(1,1-ABS(supply_chain_data[[#This Row],[Forecast Demand]]-supply_chain_data[[#This Row],[Units Sold]])/supply_chain_data[[#This Row],[Forecast Demand]]))</f>
        <v>0</v>
      </c>
      <c r="V259" s="4">
        <f>supply_chain_data[[#This Row],[Closing Stock]]/supply_chain_data[[#This Row],[Forecast Demand]]</f>
        <v>12.4</v>
      </c>
      <c r="W259">
        <v>141608</v>
      </c>
    </row>
    <row r="260" spans="1:23" hidden="1" x14ac:dyDescent="0.35">
      <c r="A260" t="s">
        <v>18</v>
      </c>
      <c r="B260" t="s">
        <v>19</v>
      </c>
      <c r="C260" t="s">
        <v>20</v>
      </c>
      <c r="D260" t="s">
        <v>43</v>
      </c>
      <c r="E260" t="s">
        <v>48</v>
      </c>
      <c r="F260" t="s">
        <v>30</v>
      </c>
      <c r="G260" s="3">
        <v>45310</v>
      </c>
      <c r="H260">
        <v>53</v>
      </c>
      <c r="I260">
        <v>31</v>
      </c>
      <c r="J260" t="str">
        <f>IF(supply_chain_data[[#This Row],[Units Sold]]&gt;supply_chain_data[[#This Row],[Opening Stock]],"Yes","No")</f>
        <v>No</v>
      </c>
      <c r="K260">
        <v>53</v>
      </c>
      <c r="L260">
        <f>supply_chain_data[[#This Row],[Opening Stock]]+supply_chain_data[[#This Row],[Units Received]]-supply_chain_data[[#This Row],[Units Sold]]</f>
        <v>75</v>
      </c>
      <c r="M260">
        <v>75</v>
      </c>
      <c r="N260">
        <v>73</v>
      </c>
      <c r="O260" s="2">
        <v>752</v>
      </c>
      <c r="P260">
        <v>5</v>
      </c>
      <c r="Q260">
        <v>1</v>
      </c>
      <c r="R26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60" t="s">
        <v>24</v>
      </c>
      <c r="T260">
        <v>28</v>
      </c>
      <c r="U260" s="5">
        <f>MAX(0,MIN(1,1-ABS(supply_chain_data[[#This Row],[Forecast Demand]]-supply_chain_data[[#This Row],[Units Sold]])/supply_chain_data[[#This Row],[Forecast Demand]]))</f>
        <v>0.8928571428571429</v>
      </c>
      <c r="V260" s="4">
        <f>supply_chain_data[[#This Row],[Closing Stock]]/supply_chain_data[[#This Row],[Forecast Demand]]</f>
        <v>2.6785714285714284</v>
      </c>
      <c r="W260">
        <v>56400</v>
      </c>
    </row>
    <row r="261" spans="1:23" hidden="1" x14ac:dyDescent="0.35">
      <c r="A261" t="s">
        <v>34</v>
      </c>
      <c r="B261" t="s">
        <v>35</v>
      </c>
      <c r="C261" t="s">
        <v>20</v>
      </c>
      <c r="D261" t="s">
        <v>43</v>
      </c>
      <c r="E261" t="s">
        <v>44</v>
      </c>
      <c r="F261" t="s">
        <v>23</v>
      </c>
      <c r="G261" s="3">
        <v>45311</v>
      </c>
      <c r="H261">
        <v>129</v>
      </c>
      <c r="I261">
        <v>47</v>
      </c>
      <c r="J261" t="str">
        <f>IF(supply_chain_data[[#This Row],[Units Sold]]&gt;supply_chain_data[[#This Row],[Opening Stock]],"Yes","No")</f>
        <v>No</v>
      </c>
      <c r="K261">
        <v>11</v>
      </c>
      <c r="L261">
        <f>supply_chain_data[[#This Row],[Opening Stock]]+supply_chain_data[[#This Row],[Units Received]]-supply_chain_data[[#This Row],[Units Sold]]</f>
        <v>93</v>
      </c>
      <c r="M261">
        <v>93</v>
      </c>
      <c r="N261">
        <v>62</v>
      </c>
      <c r="O261" s="2">
        <v>781</v>
      </c>
      <c r="P261">
        <v>12</v>
      </c>
      <c r="Q261">
        <v>8</v>
      </c>
      <c r="R26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61" t="s">
        <v>24</v>
      </c>
      <c r="T261">
        <v>46</v>
      </c>
      <c r="U261" s="5">
        <f>MAX(0,MIN(1,1-ABS(supply_chain_data[[#This Row],[Forecast Demand]]-supply_chain_data[[#This Row],[Units Sold]])/supply_chain_data[[#This Row],[Forecast Demand]]))</f>
        <v>0.97826086956521741</v>
      </c>
      <c r="V261" s="4">
        <f>supply_chain_data[[#This Row],[Closing Stock]]/supply_chain_data[[#This Row],[Forecast Demand]]</f>
        <v>2.0217391304347827</v>
      </c>
      <c r="W261">
        <v>72633</v>
      </c>
    </row>
    <row r="262" spans="1:23" x14ac:dyDescent="0.35">
      <c r="A262" t="s">
        <v>34</v>
      </c>
      <c r="B262" t="s">
        <v>35</v>
      </c>
      <c r="C262" t="s">
        <v>20</v>
      </c>
      <c r="D262" t="s">
        <v>37</v>
      </c>
      <c r="E262" t="s">
        <v>46</v>
      </c>
      <c r="F262" t="s">
        <v>33</v>
      </c>
      <c r="G262" s="3">
        <v>45312</v>
      </c>
      <c r="H262">
        <v>127</v>
      </c>
      <c r="I262">
        <v>15</v>
      </c>
      <c r="J262" t="str">
        <f>IF(supply_chain_data[[#This Row],[Units Sold]]&gt;supply_chain_data[[#This Row],[Opening Stock]],"Yes","No")</f>
        <v>No</v>
      </c>
      <c r="K262">
        <v>39</v>
      </c>
      <c r="L262">
        <f>supply_chain_data[[#This Row],[Opening Stock]]+supply_chain_data[[#This Row],[Units Received]]-supply_chain_data[[#This Row],[Units Sold]]</f>
        <v>151</v>
      </c>
      <c r="M262">
        <v>151</v>
      </c>
      <c r="N262">
        <v>79</v>
      </c>
      <c r="O262" s="2">
        <v>1177</v>
      </c>
      <c r="P262">
        <v>14</v>
      </c>
      <c r="Q262">
        <v>8</v>
      </c>
      <c r="R26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62" t="s">
        <v>24</v>
      </c>
      <c r="T262">
        <v>30</v>
      </c>
      <c r="U262" s="5">
        <f>MAX(0,MIN(1,1-ABS(supply_chain_data[[#This Row],[Forecast Demand]]-supply_chain_data[[#This Row],[Units Sold]])/supply_chain_data[[#This Row],[Forecast Demand]]))</f>
        <v>0.5</v>
      </c>
      <c r="V262" s="4">
        <f>supply_chain_data[[#This Row],[Closing Stock]]/supply_chain_data[[#This Row],[Forecast Demand]]</f>
        <v>5.0333333333333332</v>
      </c>
      <c r="W262">
        <v>177727</v>
      </c>
    </row>
    <row r="263" spans="1:23" x14ac:dyDescent="0.35">
      <c r="A263" t="s">
        <v>41</v>
      </c>
      <c r="B263" t="s">
        <v>42</v>
      </c>
      <c r="C263" t="s">
        <v>20</v>
      </c>
      <c r="D263" t="s">
        <v>21</v>
      </c>
      <c r="E263" t="s">
        <v>22</v>
      </c>
      <c r="F263" t="s">
        <v>30</v>
      </c>
      <c r="G263" s="3">
        <v>45313</v>
      </c>
      <c r="H263">
        <v>220</v>
      </c>
      <c r="I263">
        <v>26</v>
      </c>
      <c r="J263" t="str">
        <f>IF(supply_chain_data[[#This Row],[Units Sold]]&gt;supply_chain_data[[#This Row],[Opening Stock]],"Yes","No")</f>
        <v>No</v>
      </c>
      <c r="K263">
        <v>79</v>
      </c>
      <c r="L263">
        <f>supply_chain_data[[#This Row],[Opening Stock]]+supply_chain_data[[#This Row],[Units Received]]-supply_chain_data[[#This Row],[Units Sold]]</f>
        <v>273</v>
      </c>
      <c r="M263">
        <v>273</v>
      </c>
      <c r="N263">
        <v>47</v>
      </c>
      <c r="O263" s="2">
        <v>689</v>
      </c>
      <c r="P263">
        <v>14</v>
      </c>
      <c r="Q263">
        <v>1</v>
      </c>
      <c r="R26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63" t="s">
        <v>24</v>
      </c>
      <c r="T263">
        <v>21</v>
      </c>
      <c r="U263" s="5">
        <f>MAX(0,MIN(1,1-ABS(supply_chain_data[[#This Row],[Forecast Demand]]-supply_chain_data[[#This Row],[Units Sold]])/supply_chain_data[[#This Row],[Forecast Demand]]))</f>
        <v>0.76190476190476186</v>
      </c>
      <c r="V263" s="4">
        <f>supply_chain_data[[#This Row],[Closing Stock]]/supply_chain_data[[#This Row],[Forecast Demand]]</f>
        <v>13</v>
      </c>
      <c r="W263">
        <v>188097</v>
      </c>
    </row>
    <row r="264" spans="1:23" hidden="1" x14ac:dyDescent="0.35">
      <c r="A264" t="s">
        <v>18</v>
      </c>
      <c r="B264" t="s">
        <v>19</v>
      </c>
      <c r="C264" t="s">
        <v>20</v>
      </c>
      <c r="D264" t="s">
        <v>37</v>
      </c>
      <c r="E264" t="s">
        <v>38</v>
      </c>
      <c r="F264" t="s">
        <v>33</v>
      </c>
      <c r="G264" s="3">
        <v>45314</v>
      </c>
      <c r="H264">
        <v>57</v>
      </c>
      <c r="I264">
        <v>60</v>
      </c>
      <c r="J264" t="str">
        <f>IF(supply_chain_data[[#This Row],[Units Sold]]&gt;supply_chain_data[[#This Row],[Opening Stock]],"Yes","No")</f>
        <v>Yes</v>
      </c>
      <c r="K264">
        <v>32</v>
      </c>
      <c r="L264">
        <f>supply_chain_data[[#This Row],[Opening Stock]]+supply_chain_data[[#This Row],[Units Received]]-supply_chain_data[[#This Row],[Units Sold]]</f>
        <v>29</v>
      </c>
      <c r="M264">
        <v>29</v>
      </c>
      <c r="N264">
        <v>50</v>
      </c>
      <c r="O264" s="2">
        <v>258</v>
      </c>
      <c r="P264">
        <v>7</v>
      </c>
      <c r="Q264">
        <v>6</v>
      </c>
      <c r="R26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264" t="s">
        <v>36</v>
      </c>
      <c r="T264">
        <v>17</v>
      </c>
      <c r="U264" s="5">
        <f>MAX(0,MIN(1,1-ABS(supply_chain_data[[#This Row],[Forecast Demand]]-supply_chain_data[[#This Row],[Units Sold]])/supply_chain_data[[#This Row],[Forecast Demand]]))</f>
        <v>0</v>
      </c>
      <c r="V264" s="4">
        <f>supply_chain_data[[#This Row],[Closing Stock]]/supply_chain_data[[#This Row],[Forecast Demand]]</f>
        <v>1.7058823529411764</v>
      </c>
      <c r="W264" s="2">
        <v>7482</v>
      </c>
    </row>
    <row r="265" spans="1:23" x14ac:dyDescent="0.35">
      <c r="A265" t="s">
        <v>18</v>
      </c>
      <c r="B265" t="s">
        <v>19</v>
      </c>
      <c r="C265" t="s">
        <v>20</v>
      </c>
      <c r="D265" t="s">
        <v>31</v>
      </c>
      <c r="E265" t="s">
        <v>32</v>
      </c>
      <c r="F265" t="s">
        <v>33</v>
      </c>
      <c r="G265" s="3">
        <v>45315</v>
      </c>
      <c r="H265">
        <v>175</v>
      </c>
      <c r="I265">
        <v>58</v>
      </c>
      <c r="J265" t="str">
        <f>IF(supply_chain_data[[#This Row],[Units Sold]]&gt;supply_chain_data[[#This Row],[Opening Stock]],"Yes","No")</f>
        <v>No</v>
      </c>
      <c r="K265">
        <v>46</v>
      </c>
      <c r="L265">
        <f>supply_chain_data[[#This Row],[Opening Stock]]+supply_chain_data[[#This Row],[Units Received]]-supply_chain_data[[#This Row],[Units Sold]]</f>
        <v>163</v>
      </c>
      <c r="M265">
        <v>163</v>
      </c>
      <c r="N265">
        <v>95</v>
      </c>
      <c r="O265" s="2">
        <v>728</v>
      </c>
      <c r="P265">
        <v>14</v>
      </c>
      <c r="Q265">
        <v>1</v>
      </c>
      <c r="R26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65" t="s">
        <v>24</v>
      </c>
      <c r="T265">
        <v>24</v>
      </c>
      <c r="U265" s="5">
        <f>MAX(0,MIN(1,1-ABS(supply_chain_data[[#This Row],[Forecast Demand]]-supply_chain_data[[#This Row],[Units Sold]])/supply_chain_data[[#This Row],[Forecast Demand]]))</f>
        <v>0</v>
      </c>
      <c r="V265" s="4">
        <f>supply_chain_data[[#This Row],[Closing Stock]]/supply_chain_data[[#This Row],[Forecast Demand]]</f>
        <v>6.791666666666667</v>
      </c>
      <c r="W265">
        <v>118664</v>
      </c>
    </row>
    <row r="266" spans="1:23" x14ac:dyDescent="0.35">
      <c r="A266" t="s">
        <v>41</v>
      </c>
      <c r="B266" t="s">
        <v>42</v>
      </c>
      <c r="C266" t="s">
        <v>20</v>
      </c>
      <c r="D266" t="s">
        <v>31</v>
      </c>
      <c r="E266" t="s">
        <v>32</v>
      </c>
      <c r="F266" t="s">
        <v>30</v>
      </c>
      <c r="G266" s="3">
        <v>45316</v>
      </c>
      <c r="H266">
        <v>203</v>
      </c>
      <c r="I266">
        <v>43</v>
      </c>
      <c r="J266" t="str">
        <f>IF(supply_chain_data[[#This Row],[Units Sold]]&gt;supply_chain_data[[#This Row],[Opening Stock]],"Yes","No")</f>
        <v>No</v>
      </c>
      <c r="K266">
        <v>28</v>
      </c>
      <c r="L266">
        <f>supply_chain_data[[#This Row],[Opening Stock]]+supply_chain_data[[#This Row],[Units Received]]-supply_chain_data[[#This Row],[Units Sold]]</f>
        <v>188</v>
      </c>
      <c r="M266">
        <v>188</v>
      </c>
      <c r="N266">
        <v>47</v>
      </c>
      <c r="O266" s="2">
        <v>346</v>
      </c>
      <c r="P266">
        <v>7</v>
      </c>
      <c r="Q266">
        <v>4</v>
      </c>
      <c r="R26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66" t="s">
        <v>24</v>
      </c>
      <c r="T266">
        <v>27</v>
      </c>
      <c r="U266" s="5">
        <f>MAX(0,MIN(1,1-ABS(supply_chain_data[[#This Row],[Forecast Demand]]-supply_chain_data[[#This Row],[Units Sold]])/supply_chain_data[[#This Row],[Forecast Demand]]))</f>
        <v>0.40740740740740744</v>
      </c>
      <c r="V266" s="4">
        <f>supply_chain_data[[#This Row],[Closing Stock]]/supply_chain_data[[#This Row],[Forecast Demand]]</f>
        <v>6.9629629629629628</v>
      </c>
      <c r="W266">
        <v>65048</v>
      </c>
    </row>
    <row r="267" spans="1:23" x14ac:dyDescent="0.35">
      <c r="A267" t="s">
        <v>41</v>
      </c>
      <c r="B267" t="s">
        <v>42</v>
      </c>
      <c r="C267" t="s">
        <v>20</v>
      </c>
      <c r="D267" t="s">
        <v>39</v>
      </c>
      <c r="E267" t="s">
        <v>40</v>
      </c>
      <c r="F267" t="s">
        <v>30</v>
      </c>
      <c r="G267" s="3">
        <v>45317</v>
      </c>
      <c r="H267">
        <v>213</v>
      </c>
      <c r="I267">
        <v>51</v>
      </c>
      <c r="J267" t="str">
        <f>IF(supply_chain_data[[#This Row],[Units Sold]]&gt;supply_chain_data[[#This Row],[Opening Stock]],"Yes","No")</f>
        <v>No</v>
      </c>
      <c r="K267">
        <v>9</v>
      </c>
      <c r="L267">
        <f>supply_chain_data[[#This Row],[Opening Stock]]+supply_chain_data[[#This Row],[Units Received]]-supply_chain_data[[#This Row],[Units Sold]]</f>
        <v>171</v>
      </c>
      <c r="M267">
        <v>171</v>
      </c>
      <c r="N267">
        <v>87</v>
      </c>
      <c r="O267" s="2">
        <v>1026</v>
      </c>
      <c r="P267">
        <v>2</v>
      </c>
      <c r="Q267">
        <v>4</v>
      </c>
      <c r="R26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67" t="s">
        <v>24</v>
      </c>
      <c r="T267">
        <v>26</v>
      </c>
      <c r="U267" s="5">
        <f>MAX(0,MIN(1,1-ABS(supply_chain_data[[#This Row],[Forecast Demand]]-supply_chain_data[[#This Row],[Units Sold]])/supply_chain_data[[#This Row],[Forecast Demand]]))</f>
        <v>3.8461538461538436E-2</v>
      </c>
      <c r="V267" s="4">
        <f>supply_chain_data[[#This Row],[Closing Stock]]/supply_chain_data[[#This Row],[Forecast Demand]]</f>
        <v>6.5769230769230766</v>
      </c>
      <c r="W267">
        <v>175446</v>
      </c>
    </row>
    <row r="268" spans="1:23" hidden="1" x14ac:dyDescent="0.35">
      <c r="A268" t="s">
        <v>28</v>
      </c>
      <c r="B268" t="s">
        <v>29</v>
      </c>
      <c r="C268" t="s">
        <v>20</v>
      </c>
      <c r="D268" t="s">
        <v>21</v>
      </c>
      <c r="E268" t="s">
        <v>27</v>
      </c>
      <c r="F268" t="s">
        <v>33</v>
      </c>
      <c r="G268" s="3">
        <v>45318</v>
      </c>
      <c r="H268">
        <v>54</v>
      </c>
      <c r="I268">
        <v>50</v>
      </c>
      <c r="J268" t="str">
        <f>IF(supply_chain_data[[#This Row],[Units Sold]]&gt;supply_chain_data[[#This Row],[Opening Stock]],"Yes","No")</f>
        <v>No</v>
      </c>
      <c r="K268">
        <v>4</v>
      </c>
      <c r="L268">
        <f>supply_chain_data[[#This Row],[Opening Stock]]+supply_chain_data[[#This Row],[Units Received]]-supply_chain_data[[#This Row],[Units Sold]]</f>
        <v>8</v>
      </c>
      <c r="M268">
        <v>8</v>
      </c>
      <c r="N268">
        <v>53</v>
      </c>
      <c r="O268" s="2">
        <v>1458</v>
      </c>
      <c r="P268">
        <v>5</v>
      </c>
      <c r="Q268">
        <v>4</v>
      </c>
      <c r="R26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268" t="s">
        <v>36</v>
      </c>
      <c r="T268">
        <v>35</v>
      </c>
      <c r="U268" s="5">
        <f>MAX(0,MIN(1,1-ABS(supply_chain_data[[#This Row],[Forecast Demand]]-supply_chain_data[[#This Row],[Units Sold]])/supply_chain_data[[#This Row],[Forecast Demand]]))</f>
        <v>0.5714285714285714</v>
      </c>
      <c r="V268" s="4">
        <f>supply_chain_data[[#This Row],[Closing Stock]]/supply_chain_data[[#This Row],[Forecast Demand]]</f>
        <v>0.22857142857142856</v>
      </c>
      <c r="W268">
        <v>11664</v>
      </c>
    </row>
    <row r="269" spans="1:23" hidden="1" x14ac:dyDescent="0.35">
      <c r="A269" t="s">
        <v>34</v>
      </c>
      <c r="B269" t="s">
        <v>35</v>
      </c>
      <c r="C269" t="s">
        <v>20</v>
      </c>
      <c r="D269" t="s">
        <v>21</v>
      </c>
      <c r="E269" t="s">
        <v>27</v>
      </c>
      <c r="F269" t="s">
        <v>23</v>
      </c>
      <c r="G269" s="3">
        <v>45319</v>
      </c>
      <c r="H269">
        <v>145</v>
      </c>
      <c r="I269">
        <v>59</v>
      </c>
      <c r="J269" t="str">
        <f>IF(supply_chain_data[[#This Row],[Units Sold]]&gt;supply_chain_data[[#This Row],[Opening Stock]],"Yes","No")</f>
        <v>No</v>
      </c>
      <c r="K269">
        <v>68</v>
      </c>
      <c r="L269">
        <f>supply_chain_data[[#This Row],[Opening Stock]]+supply_chain_data[[#This Row],[Units Received]]-supply_chain_data[[#This Row],[Units Sold]]</f>
        <v>154</v>
      </c>
      <c r="M269">
        <v>154</v>
      </c>
      <c r="N269">
        <v>66</v>
      </c>
      <c r="O269" s="2">
        <v>924</v>
      </c>
      <c r="P269">
        <v>7</v>
      </c>
      <c r="Q269">
        <v>10</v>
      </c>
      <c r="R26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69" t="s">
        <v>24</v>
      </c>
      <c r="T269">
        <v>70</v>
      </c>
      <c r="U269" s="5">
        <f>MAX(0,MIN(1,1-ABS(supply_chain_data[[#This Row],[Forecast Demand]]-supply_chain_data[[#This Row],[Units Sold]])/supply_chain_data[[#This Row],[Forecast Demand]]))</f>
        <v>0.84285714285714286</v>
      </c>
      <c r="V269" s="4">
        <f>supply_chain_data[[#This Row],[Closing Stock]]/supply_chain_data[[#This Row],[Forecast Demand]]</f>
        <v>2.2000000000000002</v>
      </c>
      <c r="W269">
        <v>142296</v>
      </c>
    </row>
    <row r="270" spans="1:23" hidden="1" x14ac:dyDescent="0.35">
      <c r="A270" t="s">
        <v>41</v>
      </c>
      <c r="B270" t="s">
        <v>42</v>
      </c>
      <c r="C270" t="s">
        <v>20</v>
      </c>
      <c r="D270" t="s">
        <v>31</v>
      </c>
      <c r="E270" t="s">
        <v>32</v>
      </c>
      <c r="F270" t="s">
        <v>23</v>
      </c>
      <c r="G270" s="3">
        <v>45320</v>
      </c>
      <c r="H270">
        <v>76</v>
      </c>
      <c r="I270">
        <v>16</v>
      </c>
      <c r="J270" t="str">
        <f>IF(supply_chain_data[[#This Row],[Units Sold]]&gt;supply_chain_data[[#This Row],[Opening Stock]],"Yes","No")</f>
        <v>No</v>
      </c>
      <c r="K270">
        <v>39</v>
      </c>
      <c r="L270">
        <f>supply_chain_data[[#This Row],[Opening Stock]]+supply_chain_data[[#This Row],[Units Received]]-supply_chain_data[[#This Row],[Units Sold]]</f>
        <v>99</v>
      </c>
      <c r="M270">
        <v>99</v>
      </c>
      <c r="N270">
        <v>99</v>
      </c>
      <c r="O270" s="2">
        <v>1018</v>
      </c>
      <c r="P270">
        <v>9</v>
      </c>
      <c r="Q270">
        <v>7</v>
      </c>
      <c r="R27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270" t="s">
        <v>36</v>
      </c>
      <c r="T270">
        <v>44</v>
      </c>
      <c r="U270" s="5">
        <f>MAX(0,MIN(1,1-ABS(supply_chain_data[[#This Row],[Forecast Demand]]-supply_chain_data[[#This Row],[Units Sold]])/supply_chain_data[[#This Row],[Forecast Demand]]))</f>
        <v>0.36363636363636365</v>
      </c>
      <c r="V270" s="4">
        <f>supply_chain_data[[#This Row],[Closing Stock]]/supply_chain_data[[#This Row],[Forecast Demand]]</f>
        <v>2.25</v>
      </c>
      <c r="W270">
        <v>100782</v>
      </c>
    </row>
    <row r="271" spans="1:23" x14ac:dyDescent="0.35">
      <c r="A271" t="s">
        <v>25</v>
      </c>
      <c r="B271" t="s">
        <v>26</v>
      </c>
      <c r="C271" t="s">
        <v>20</v>
      </c>
      <c r="D271" t="s">
        <v>31</v>
      </c>
      <c r="E271" t="s">
        <v>47</v>
      </c>
      <c r="F271" t="s">
        <v>33</v>
      </c>
      <c r="G271" s="3">
        <v>45321</v>
      </c>
      <c r="H271">
        <v>106</v>
      </c>
      <c r="I271">
        <v>40</v>
      </c>
      <c r="J271" t="str">
        <f>IF(supply_chain_data[[#This Row],[Units Sold]]&gt;supply_chain_data[[#This Row],[Opening Stock]],"Yes","No")</f>
        <v>No</v>
      </c>
      <c r="K271">
        <v>64</v>
      </c>
      <c r="L271">
        <f>supply_chain_data[[#This Row],[Opening Stock]]+supply_chain_data[[#This Row],[Units Received]]-supply_chain_data[[#This Row],[Units Sold]]</f>
        <v>130</v>
      </c>
      <c r="M271">
        <v>130</v>
      </c>
      <c r="N271">
        <v>44</v>
      </c>
      <c r="O271" s="2">
        <v>272</v>
      </c>
      <c r="P271">
        <v>12</v>
      </c>
      <c r="Q271">
        <v>5</v>
      </c>
      <c r="R27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71" t="s">
        <v>24</v>
      </c>
      <c r="T271">
        <v>20</v>
      </c>
      <c r="U271" s="5">
        <f>MAX(0,MIN(1,1-ABS(supply_chain_data[[#This Row],[Forecast Demand]]-supply_chain_data[[#This Row],[Units Sold]])/supply_chain_data[[#This Row],[Forecast Demand]]))</f>
        <v>0</v>
      </c>
      <c r="V271" s="4">
        <f>supply_chain_data[[#This Row],[Closing Stock]]/supply_chain_data[[#This Row],[Forecast Demand]]</f>
        <v>6.5</v>
      </c>
      <c r="W271">
        <v>35360</v>
      </c>
    </row>
    <row r="272" spans="1:23" x14ac:dyDescent="0.35">
      <c r="A272" t="s">
        <v>28</v>
      </c>
      <c r="B272" t="s">
        <v>29</v>
      </c>
      <c r="C272" t="s">
        <v>20</v>
      </c>
      <c r="D272" t="s">
        <v>43</v>
      </c>
      <c r="E272" t="s">
        <v>48</v>
      </c>
      <c r="F272" t="s">
        <v>30</v>
      </c>
      <c r="G272" s="3">
        <v>45322</v>
      </c>
      <c r="H272">
        <v>156</v>
      </c>
      <c r="I272">
        <v>14</v>
      </c>
      <c r="J272" t="str">
        <f>IF(supply_chain_data[[#This Row],[Units Sold]]&gt;supply_chain_data[[#This Row],[Opening Stock]],"Yes","No")</f>
        <v>No</v>
      </c>
      <c r="K272">
        <v>49</v>
      </c>
      <c r="L272">
        <f>supply_chain_data[[#This Row],[Opening Stock]]+supply_chain_data[[#This Row],[Units Received]]-supply_chain_data[[#This Row],[Units Sold]]</f>
        <v>191</v>
      </c>
      <c r="M272">
        <v>191</v>
      </c>
      <c r="N272">
        <v>92</v>
      </c>
      <c r="O272" s="2">
        <v>759</v>
      </c>
      <c r="P272">
        <v>8</v>
      </c>
      <c r="Q272">
        <v>3</v>
      </c>
      <c r="R27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72" t="s">
        <v>24</v>
      </c>
      <c r="T272">
        <v>15</v>
      </c>
      <c r="U272" s="5">
        <f>MAX(0,MIN(1,1-ABS(supply_chain_data[[#This Row],[Forecast Demand]]-supply_chain_data[[#This Row],[Units Sold]])/supply_chain_data[[#This Row],[Forecast Demand]]))</f>
        <v>0.93333333333333335</v>
      </c>
      <c r="V272" s="4">
        <f>supply_chain_data[[#This Row],[Closing Stock]]/supply_chain_data[[#This Row],[Forecast Demand]]</f>
        <v>12.733333333333333</v>
      </c>
      <c r="W272">
        <v>144969</v>
      </c>
    </row>
    <row r="273" spans="1:23" x14ac:dyDescent="0.35">
      <c r="A273" t="s">
        <v>34</v>
      </c>
      <c r="B273" t="s">
        <v>35</v>
      </c>
      <c r="C273" t="s">
        <v>20</v>
      </c>
      <c r="D273" t="s">
        <v>31</v>
      </c>
      <c r="E273" t="s">
        <v>32</v>
      </c>
      <c r="F273" t="s">
        <v>23</v>
      </c>
      <c r="G273" s="3">
        <v>45323</v>
      </c>
      <c r="H273">
        <v>260</v>
      </c>
      <c r="I273">
        <v>54</v>
      </c>
      <c r="J273" t="str">
        <f>IF(supply_chain_data[[#This Row],[Units Sold]]&gt;supply_chain_data[[#This Row],[Opening Stock]],"Yes","No")</f>
        <v>No</v>
      </c>
      <c r="K273">
        <v>35</v>
      </c>
      <c r="L273">
        <f>supply_chain_data[[#This Row],[Opening Stock]]+supply_chain_data[[#This Row],[Units Received]]-supply_chain_data[[#This Row],[Units Sold]]</f>
        <v>241</v>
      </c>
      <c r="M273">
        <v>241</v>
      </c>
      <c r="N273">
        <v>78</v>
      </c>
      <c r="O273" s="2">
        <v>853</v>
      </c>
      <c r="P273">
        <v>12</v>
      </c>
      <c r="Q273">
        <v>4</v>
      </c>
      <c r="R27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73" t="s">
        <v>24</v>
      </c>
      <c r="T273">
        <v>30</v>
      </c>
      <c r="U273" s="5">
        <f>MAX(0,MIN(1,1-ABS(supply_chain_data[[#This Row],[Forecast Demand]]-supply_chain_data[[#This Row],[Units Sold]])/supply_chain_data[[#This Row],[Forecast Demand]]))</f>
        <v>0.19999999999999996</v>
      </c>
      <c r="V273" s="4">
        <f>supply_chain_data[[#This Row],[Closing Stock]]/supply_chain_data[[#This Row],[Forecast Demand]]</f>
        <v>8.0333333333333332</v>
      </c>
      <c r="W273">
        <v>205573</v>
      </c>
    </row>
    <row r="274" spans="1:23" x14ac:dyDescent="0.35">
      <c r="A274" t="s">
        <v>34</v>
      </c>
      <c r="B274" t="s">
        <v>35</v>
      </c>
      <c r="C274" t="s">
        <v>20</v>
      </c>
      <c r="D274" t="s">
        <v>21</v>
      </c>
      <c r="E274" t="s">
        <v>27</v>
      </c>
      <c r="F274" t="s">
        <v>33</v>
      </c>
      <c r="G274" s="3">
        <v>45324</v>
      </c>
      <c r="H274">
        <v>168</v>
      </c>
      <c r="I274">
        <v>57</v>
      </c>
      <c r="J274" t="str">
        <f>IF(supply_chain_data[[#This Row],[Units Sold]]&gt;supply_chain_data[[#This Row],[Opening Stock]],"Yes","No")</f>
        <v>No</v>
      </c>
      <c r="K274">
        <v>30</v>
      </c>
      <c r="L274">
        <f>supply_chain_data[[#This Row],[Opening Stock]]+supply_chain_data[[#This Row],[Units Received]]-supply_chain_data[[#This Row],[Units Sold]]</f>
        <v>141</v>
      </c>
      <c r="M274">
        <v>141</v>
      </c>
      <c r="N274">
        <v>88</v>
      </c>
      <c r="O274" s="2">
        <v>1431</v>
      </c>
      <c r="P274">
        <v>10</v>
      </c>
      <c r="Q274">
        <v>2</v>
      </c>
      <c r="R27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74" t="s">
        <v>24</v>
      </c>
      <c r="T274">
        <v>15</v>
      </c>
      <c r="U274" s="5">
        <f>MAX(0,MIN(1,1-ABS(supply_chain_data[[#This Row],[Forecast Demand]]-supply_chain_data[[#This Row],[Units Sold]])/supply_chain_data[[#This Row],[Forecast Demand]]))</f>
        <v>0</v>
      </c>
      <c r="V274" s="4">
        <f>supply_chain_data[[#This Row],[Closing Stock]]/supply_chain_data[[#This Row],[Forecast Demand]]</f>
        <v>9.4</v>
      </c>
      <c r="W274">
        <v>201771</v>
      </c>
    </row>
    <row r="275" spans="1:23" hidden="1" x14ac:dyDescent="0.35">
      <c r="A275" t="s">
        <v>34</v>
      </c>
      <c r="B275" t="s">
        <v>35</v>
      </c>
      <c r="C275" t="s">
        <v>20</v>
      </c>
      <c r="D275" t="s">
        <v>31</v>
      </c>
      <c r="E275" t="s">
        <v>47</v>
      </c>
      <c r="F275" t="s">
        <v>30</v>
      </c>
      <c r="G275" s="3">
        <v>45325</v>
      </c>
      <c r="H275">
        <v>120</v>
      </c>
      <c r="I275">
        <v>45</v>
      </c>
      <c r="J275" t="str">
        <f>IF(supply_chain_data[[#This Row],[Units Sold]]&gt;supply_chain_data[[#This Row],[Opening Stock]],"Yes","No")</f>
        <v>No</v>
      </c>
      <c r="K275">
        <v>56</v>
      </c>
      <c r="L275">
        <f>supply_chain_data[[#This Row],[Opening Stock]]+supply_chain_data[[#This Row],[Units Received]]-supply_chain_data[[#This Row],[Units Sold]]</f>
        <v>131</v>
      </c>
      <c r="M275">
        <v>131</v>
      </c>
      <c r="N275">
        <v>99</v>
      </c>
      <c r="O275" s="2">
        <v>677</v>
      </c>
      <c r="P275">
        <v>13</v>
      </c>
      <c r="Q275">
        <v>8</v>
      </c>
      <c r="R27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75" t="s">
        <v>24</v>
      </c>
      <c r="T275">
        <v>62</v>
      </c>
      <c r="U275" s="5">
        <f>MAX(0,MIN(1,1-ABS(supply_chain_data[[#This Row],[Forecast Demand]]-supply_chain_data[[#This Row],[Units Sold]])/supply_chain_data[[#This Row],[Forecast Demand]]))</f>
        <v>0.72580645161290325</v>
      </c>
      <c r="V275" s="4">
        <f>supply_chain_data[[#This Row],[Closing Stock]]/supply_chain_data[[#This Row],[Forecast Demand]]</f>
        <v>2.1129032258064515</v>
      </c>
      <c r="W275">
        <v>88687</v>
      </c>
    </row>
    <row r="276" spans="1:23" hidden="1" x14ac:dyDescent="0.35">
      <c r="A276" t="s">
        <v>25</v>
      </c>
      <c r="B276" t="s">
        <v>26</v>
      </c>
      <c r="C276" t="s">
        <v>20</v>
      </c>
      <c r="D276" t="s">
        <v>39</v>
      </c>
      <c r="E276" t="s">
        <v>45</v>
      </c>
      <c r="F276" t="s">
        <v>30</v>
      </c>
      <c r="G276" s="3">
        <v>45326</v>
      </c>
      <c r="H276">
        <v>131</v>
      </c>
      <c r="I276">
        <v>26</v>
      </c>
      <c r="J276" t="str">
        <f>IF(supply_chain_data[[#This Row],[Units Sold]]&gt;supply_chain_data[[#This Row],[Opening Stock]],"Yes","No")</f>
        <v>No</v>
      </c>
      <c r="K276">
        <v>31</v>
      </c>
      <c r="L276">
        <f>supply_chain_data[[#This Row],[Opening Stock]]+supply_chain_data[[#This Row],[Units Received]]-supply_chain_data[[#This Row],[Units Sold]]</f>
        <v>136</v>
      </c>
      <c r="M276">
        <v>136</v>
      </c>
      <c r="N276">
        <v>51</v>
      </c>
      <c r="O276" s="2">
        <v>1417</v>
      </c>
      <c r="P276">
        <v>10</v>
      </c>
      <c r="Q276">
        <v>4</v>
      </c>
      <c r="R27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76" t="s">
        <v>24</v>
      </c>
      <c r="T276">
        <v>53</v>
      </c>
      <c r="U276" s="5">
        <f>MAX(0,MIN(1,1-ABS(supply_chain_data[[#This Row],[Forecast Demand]]-supply_chain_data[[#This Row],[Units Sold]])/supply_chain_data[[#This Row],[Forecast Demand]]))</f>
        <v>0.49056603773584906</v>
      </c>
      <c r="V276" s="4">
        <f>supply_chain_data[[#This Row],[Closing Stock]]/supply_chain_data[[#This Row],[Forecast Demand]]</f>
        <v>2.5660377358490565</v>
      </c>
      <c r="W276">
        <v>192712</v>
      </c>
    </row>
    <row r="277" spans="1:23" x14ac:dyDescent="0.35">
      <c r="A277" t="s">
        <v>34</v>
      </c>
      <c r="B277" t="s">
        <v>35</v>
      </c>
      <c r="C277" t="s">
        <v>20</v>
      </c>
      <c r="D277" t="s">
        <v>43</v>
      </c>
      <c r="E277" t="s">
        <v>44</v>
      </c>
      <c r="F277" t="s">
        <v>30</v>
      </c>
      <c r="G277" s="3">
        <v>45327</v>
      </c>
      <c r="H277">
        <v>243</v>
      </c>
      <c r="I277">
        <v>55</v>
      </c>
      <c r="J277" t="str">
        <f>IF(supply_chain_data[[#This Row],[Units Sold]]&gt;supply_chain_data[[#This Row],[Opening Stock]],"Yes","No")</f>
        <v>No</v>
      </c>
      <c r="K277">
        <v>48</v>
      </c>
      <c r="L277">
        <f>supply_chain_data[[#This Row],[Opening Stock]]+supply_chain_data[[#This Row],[Units Received]]-supply_chain_data[[#This Row],[Units Sold]]</f>
        <v>236</v>
      </c>
      <c r="M277">
        <v>236</v>
      </c>
      <c r="N277">
        <v>89</v>
      </c>
      <c r="O277" s="2">
        <v>313</v>
      </c>
      <c r="P277">
        <v>5</v>
      </c>
      <c r="Q277">
        <v>10</v>
      </c>
      <c r="R27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77" t="s">
        <v>24</v>
      </c>
      <c r="T277">
        <v>34</v>
      </c>
      <c r="U277" s="5">
        <f>MAX(0,MIN(1,1-ABS(supply_chain_data[[#This Row],[Forecast Demand]]-supply_chain_data[[#This Row],[Units Sold]])/supply_chain_data[[#This Row],[Forecast Demand]]))</f>
        <v>0.38235294117647056</v>
      </c>
      <c r="V277" s="4">
        <f>supply_chain_data[[#This Row],[Closing Stock]]/supply_chain_data[[#This Row],[Forecast Demand]]</f>
        <v>6.9411764705882355</v>
      </c>
      <c r="W277">
        <v>73868</v>
      </c>
    </row>
    <row r="278" spans="1:23" x14ac:dyDescent="0.35">
      <c r="A278" t="s">
        <v>18</v>
      </c>
      <c r="B278" t="s">
        <v>19</v>
      </c>
      <c r="C278" t="s">
        <v>20</v>
      </c>
      <c r="D278" t="s">
        <v>21</v>
      </c>
      <c r="E278" t="s">
        <v>22</v>
      </c>
      <c r="F278" t="s">
        <v>30</v>
      </c>
      <c r="G278" s="3">
        <v>45328</v>
      </c>
      <c r="H278">
        <v>185</v>
      </c>
      <c r="I278">
        <v>41</v>
      </c>
      <c r="J278" t="str">
        <f>IF(supply_chain_data[[#This Row],[Units Sold]]&gt;supply_chain_data[[#This Row],[Opening Stock]],"Yes","No")</f>
        <v>No</v>
      </c>
      <c r="K278">
        <v>12</v>
      </c>
      <c r="L278">
        <f>supply_chain_data[[#This Row],[Opening Stock]]+supply_chain_data[[#This Row],[Units Received]]-supply_chain_data[[#This Row],[Units Sold]]</f>
        <v>156</v>
      </c>
      <c r="M278">
        <v>156</v>
      </c>
      <c r="N278">
        <v>55</v>
      </c>
      <c r="O278" s="2">
        <v>868</v>
      </c>
      <c r="P278">
        <v>9</v>
      </c>
      <c r="Q278">
        <v>3</v>
      </c>
      <c r="R27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78" t="s">
        <v>24</v>
      </c>
      <c r="T278">
        <v>34</v>
      </c>
      <c r="U278" s="5">
        <f>MAX(0,MIN(1,1-ABS(supply_chain_data[[#This Row],[Forecast Demand]]-supply_chain_data[[#This Row],[Units Sold]])/supply_chain_data[[#This Row],[Forecast Demand]]))</f>
        <v>0.79411764705882359</v>
      </c>
      <c r="V278" s="4">
        <f>supply_chain_data[[#This Row],[Closing Stock]]/supply_chain_data[[#This Row],[Forecast Demand]]</f>
        <v>4.5882352941176467</v>
      </c>
      <c r="W278">
        <v>135408</v>
      </c>
    </row>
    <row r="279" spans="1:23" x14ac:dyDescent="0.35">
      <c r="A279" t="s">
        <v>28</v>
      </c>
      <c r="B279" t="s">
        <v>29</v>
      </c>
      <c r="C279" t="s">
        <v>20</v>
      </c>
      <c r="D279" t="s">
        <v>43</v>
      </c>
      <c r="E279" t="s">
        <v>48</v>
      </c>
      <c r="F279" t="s">
        <v>30</v>
      </c>
      <c r="G279" s="3">
        <v>45329</v>
      </c>
      <c r="H279">
        <v>209</v>
      </c>
      <c r="I279">
        <v>59</v>
      </c>
      <c r="J279" t="str">
        <f>IF(supply_chain_data[[#This Row],[Units Sold]]&gt;supply_chain_data[[#This Row],[Opening Stock]],"Yes","No")</f>
        <v>No</v>
      </c>
      <c r="K279">
        <v>35</v>
      </c>
      <c r="L279">
        <f>supply_chain_data[[#This Row],[Opening Stock]]+supply_chain_data[[#This Row],[Units Received]]-supply_chain_data[[#This Row],[Units Sold]]</f>
        <v>185</v>
      </c>
      <c r="M279">
        <v>185</v>
      </c>
      <c r="N279">
        <v>40</v>
      </c>
      <c r="O279" s="2">
        <v>1362</v>
      </c>
      <c r="P279">
        <v>11</v>
      </c>
      <c r="Q279">
        <v>6</v>
      </c>
      <c r="R27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79" t="s">
        <v>24</v>
      </c>
      <c r="T279">
        <v>42</v>
      </c>
      <c r="U279" s="5">
        <f>MAX(0,MIN(1,1-ABS(supply_chain_data[[#This Row],[Forecast Demand]]-supply_chain_data[[#This Row],[Units Sold]])/supply_chain_data[[#This Row],[Forecast Demand]]))</f>
        <v>0.59523809523809523</v>
      </c>
      <c r="V279" s="4">
        <f>supply_chain_data[[#This Row],[Closing Stock]]/supply_chain_data[[#This Row],[Forecast Demand]]</f>
        <v>4.4047619047619051</v>
      </c>
      <c r="W279">
        <v>251970</v>
      </c>
    </row>
    <row r="280" spans="1:23" x14ac:dyDescent="0.35">
      <c r="A280" t="s">
        <v>18</v>
      </c>
      <c r="B280" t="s">
        <v>19</v>
      </c>
      <c r="C280" t="s">
        <v>20</v>
      </c>
      <c r="D280" t="s">
        <v>39</v>
      </c>
      <c r="E280" t="s">
        <v>40</v>
      </c>
      <c r="F280" t="s">
        <v>23</v>
      </c>
      <c r="G280" s="3">
        <v>45330</v>
      </c>
      <c r="H280">
        <v>261</v>
      </c>
      <c r="I280">
        <v>60</v>
      </c>
      <c r="J280" t="str">
        <f>IF(supply_chain_data[[#This Row],[Units Sold]]&gt;supply_chain_data[[#This Row],[Opening Stock]],"Yes","No")</f>
        <v>No</v>
      </c>
      <c r="K280">
        <v>54</v>
      </c>
      <c r="L280">
        <f>supply_chain_data[[#This Row],[Opening Stock]]+supply_chain_data[[#This Row],[Units Received]]-supply_chain_data[[#This Row],[Units Sold]]</f>
        <v>255</v>
      </c>
      <c r="M280">
        <v>255</v>
      </c>
      <c r="N280">
        <v>41</v>
      </c>
      <c r="O280" s="2">
        <v>724</v>
      </c>
      <c r="P280">
        <v>15</v>
      </c>
      <c r="Q280">
        <v>1</v>
      </c>
      <c r="R28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80" t="s">
        <v>24</v>
      </c>
      <c r="T280">
        <v>62</v>
      </c>
      <c r="U280" s="5">
        <f>MAX(0,MIN(1,1-ABS(supply_chain_data[[#This Row],[Forecast Demand]]-supply_chain_data[[#This Row],[Units Sold]])/supply_chain_data[[#This Row],[Forecast Demand]]))</f>
        <v>0.967741935483871</v>
      </c>
      <c r="V280" s="4">
        <f>supply_chain_data[[#This Row],[Closing Stock]]/supply_chain_data[[#This Row],[Forecast Demand]]</f>
        <v>4.112903225806452</v>
      </c>
      <c r="W280">
        <v>184620</v>
      </c>
    </row>
    <row r="281" spans="1:23" x14ac:dyDescent="0.35">
      <c r="A281" t="s">
        <v>41</v>
      </c>
      <c r="B281" t="s">
        <v>42</v>
      </c>
      <c r="C281" t="s">
        <v>20</v>
      </c>
      <c r="D281" t="s">
        <v>43</v>
      </c>
      <c r="E281" t="s">
        <v>48</v>
      </c>
      <c r="F281" t="s">
        <v>33</v>
      </c>
      <c r="G281" s="3">
        <v>45331</v>
      </c>
      <c r="H281">
        <v>213</v>
      </c>
      <c r="I281">
        <v>29</v>
      </c>
      <c r="J281" t="str">
        <f>IF(supply_chain_data[[#This Row],[Units Sold]]&gt;supply_chain_data[[#This Row],[Opening Stock]],"Yes","No")</f>
        <v>No</v>
      </c>
      <c r="K281">
        <v>52</v>
      </c>
      <c r="L281">
        <f>supply_chain_data[[#This Row],[Opening Stock]]+supply_chain_data[[#This Row],[Units Received]]-supply_chain_data[[#This Row],[Units Sold]]</f>
        <v>236</v>
      </c>
      <c r="M281">
        <v>236</v>
      </c>
      <c r="N281">
        <v>42</v>
      </c>
      <c r="O281" s="2">
        <v>961</v>
      </c>
      <c r="P281">
        <v>15</v>
      </c>
      <c r="Q281">
        <v>8</v>
      </c>
      <c r="R28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81" t="s">
        <v>24</v>
      </c>
      <c r="T281">
        <v>33</v>
      </c>
      <c r="U281" s="5">
        <f>MAX(0,MIN(1,1-ABS(supply_chain_data[[#This Row],[Forecast Demand]]-supply_chain_data[[#This Row],[Units Sold]])/supply_chain_data[[#This Row],[Forecast Demand]]))</f>
        <v>0.87878787878787878</v>
      </c>
      <c r="V281" s="4">
        <f>supply_chain_data[[#This Row],[Closing Stock]]/supply_chain_data[[#This Row],[Forecast Demand]]</f>
        <v>7.1515151515151514</v>
      </c>
      <c r="W281">
        <v>226796</v>
      </c>
    </row>
    <row r="282" spans="1:23" x14ac:dyDescent="0.35">
      <c r="A282" t="s">
        <v>28</v>
      </c>
      <c r="B282" t="s">
        <v>29</v>
      </c>
      <c r="C282" t="s">
        <v>20</v>
      </c>
      <c r="D282" t="s">
        <v>31</v>
      </c>
      <c r="E282" t="s">
        <v>32</v>
      </c>
      <c r="F282" t="s">
        <v>30</v>
      </c>
      <c r="G282" s="3">
        <v>45332</v>
      </c>
      <c r="H282">
        <v>291</v>
      </c>
      <c r="I282">
        <v>25</v>
      </c>
      <c r="J282" t="str">
        <f>IF(supply_chain_data[[#This Row],[Units Sold]]&gt;supply_chain_data[[#This Row],[Opening Stock]],"Yes","No")</f>
        <v>No</v>
      </c>
      <c r="K282">
        <v>14</v>
      </c>
      <c r="L282">
        <f>supply_chain_data[[#This Row],[Opening Stock]]+supply_chain_data[[#This Row],[Units Received]]-supply_chain_data[[#This Row],[Units Sold]]</f>
        <v>280</v>
      </c>
      <c r="M282">
        <v>280</v>
      </c>
      <c r="N282">
        <v>52</v>
      </c>
      <c r="O282" s="2">
        <v>813</v>
      </c>
      <c r="P282">
        <v>2</v>
      </c>
      <c r="Q282">
        <v>1</v>
      </c>
      <c r="R28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82" t="s">
        <v>24</v>
      </c>
      <c r="T282">
        <v>21</v>
      </c>
      <c r="U282" s="5">
        <f>MAX(0,MIN(1,1-ABS(supply_chain_data[[#This Row],[Forecast Demand]]-supply_chain_data[[#This Row],[Units Sold]])/supply_chain_data[[#This Row],[Forecast Demand]]))</f>
        <v>0.80952380952380953</v>
      </c>
      <c r="V282" s="4">
        <f>supply_chain_data[[#This Row],[Closing Stock]]/supply_chain_data[[#This Row],[Forecast Demand]]</f>
        <v>13.333333333333334</v>
      </c>
      <c r="W282">
        <v>227640</v>
      </c>
    </row>
    <row r="283" spans="1:23" x14ac:dyDescent="0.35">
      <c r="A283" t="s">
        <v>18</v>
      </c>
      <c r="B283" t="s">
        <v>19</v>
      </c>
      <c r="C283" t="s">
        <v>20</v>
      </c>
      <c r="D283" t="s">
        <v>31</v>
      </c>
      <c r="E283" t="s">
        <v>32</v>
      </c>
      <c r="F283" t="s">
        <v>23</v>
      </c>
      <c r="G283" s="3">
        <v>45333</v>
      </c>
      <c r="H283">
        <v>266</v>
      </c>
      <c r="I283">
        <v>52</v>
      </c>
      <c r="J283" t="str">
        <f>IF(supply_chain_data[[#This Row],[Units Sold]]&gt;supply_chain_data[[#This Row],[Opening Stock]],"Yes","No")</f>
        <v>No</v>
      </c>
      <c r="K283">
        <v>31</v>
      </c>
      <c r="L283">
        <f>supply_chain_data[[#This Row],[Opening Stock]]+supply_chain_data[[#This Row],[Units Received]]-supply_chain_data[[#This Row],[Units Sold]]</f>
        <v>245</v>
      </c>
      <c r="M283">
        <v>245</v>
      </c>
      <c r="N283">
        <v>53</v>
      </c>
      <c r="O283" s="2">
        <v>252</v>
      </c>
      <c r="P283">
        <v>12</v>
      </c>
      <c r="Q283">
        <v>2</v>
      </c>
      <c r="R28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83" t="s">
        <v>24</v>
      </c>
      <c r="T283">
        <v>29</v>
      </c>
      <c r="U283" s="5">
        <f>MAX(0,MIN(1,1-ABS(supply_chain_data[[#This Row],[Forecast Demand]]-supply_chain_data[[#This Row],[Units Sold]])/supply_chain_data[[#This Row],[Forecast Demand]]))</f>
        <v>0.2068965517241379</v>
      </c>
      <c r="V283" s="4">
        <f>supply_chain_data[[#This Row],[Closing Stock]]/supply_chain_data[[#This Row],[Forecast Demand]]</f>
        <v>8.4482758620689662</v>
      </c>
      <c r="W283">
        <v>61740</v>
      </c>
    </row>
    <row r="284" spans="1:23" hidden="1" x14ac:dyDescent="0.35">
      <c r="A284" t="s">
        <v>18</v>
      </c>
      <c r="B284" t="s">
        <v>19</v>
      </c>
      <c r="C284" t="s">
        <v>20</v>
      </c>
      <c r="D284" t="s">
        <v>21</v>
      </c>
      <c r="E284" t="s">
        <v>22</v>
      </c>
      <c r="F284" t="s">
        <v>30</v>
      </c>
      <c r="G284" s="3">
        <v>45334</v>
      </c>
      <c r="H284">
        <v>68</v>
      </c>
      <c r="I284">
        <v>28</v>
      </c>
      <c r="J284" t="str">
        <f>IF(supply_chain_data[[#This Row],[Units Sold]]&gt;supply_chain_data[[#This Row],[Opening Stock]],"Yes","No")</f>
        <v>No</v>
      </c>
      <c r="K284">
        <v>60</v>
      </c>
      <c r="L284">
        <f>supply_chain_data[[#This Row],[Opening Stock]]+supply_chain_data[[#This Row],[Units Received]]-supply_chain_data[[#This Row],[Units Sold]]</f>
        <v>100</v>
      </c>
      <c r="M284">
        <v>100</v>
      </c>
      <c r="N284">
        <v>46</v>
      </c>
      <c r="O284" s="2">
        <v>1370</v>
      </c>
      <c r="P284">
        <v>12</v>
      </c>
      <c r="Q284">
        <v>1</v>
      </c>
      <c r="R28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84" t="s">
        <v>24</v>
      </c>
      <c r="T284">
        <v>33</v>
      </c>
      <c r="U284" s="5">
        <f>MAX(0,MIN(1,1-ABS(supply_chain_data[[#This Row],[Forecast Demand]]-supply_chain_data[[#This Row],[Units Sold]])/supply_chain_data[[#This Row],[Forecast Demand]]))</f>
        <v>0.84848484848484851</v>
      </c>
      <c r="V284" s="4">
        <f>supply_chain_data[[#This Row],[Closing Stock]]/supply_chain_data[[#This Row],[Forecast Demand]]</f>
        <v>3.0303030303030303</v>
      </c>
      <c r="W284">
        <v>137000</v>
      </c>
    </row>
    <row r="285" spans="1:23" x14ac:dyDescent="0.35">
      <c r="A285" t="s">
        <v>34</v>
      </c>
      <c r="B285" t="s">
        <v>35</v>
      </c>
      <c r="C285" t="s">
        <v>20</v>
      </c>
      <c r="D285" t="s">
        <v>37</v>
      </c>
      <c r="E285" t="s">
        <v>46</v>
      </c>
      <c r="F285" t="s">
        <v>30</v>
      </c>
      <c r="G285" s="3">
        <v>45335</v>
      </c>
      <c r="H285">
        <v>249</v>
      </c>
      <c r="I285">
        <v>51</v>
      </c>
      <c r="J285" t="str">
        <f>IF(supply_chain_data[[#This Row],[Units Sold]]&gt;supply_chain_data[[#This Row],[Opening Stock]],"Yes","No")</f>
        <v>No</v>
      </c>
      <c r="K285">
        <v>39</v>
      </c>
      <c r="L285">
        <f>supply_chain_data[[#This Row],[Opening Stock]]+supply_chain_data[[#This Row],[Units Received]]-supply_chain_data[[#This Row],[Units Sold]]</f>
        <v>237</v>
      </c>
      <c r="M285">
        <v>237</v>
      </c>
      <c r="N285">
        <v>72</v>
      </c>
      <c r="O285" s="2">
        <v>593</v>
      </c>
      <c r="P285">
        <v>10</v>
      </c>
      <c r="Q285">
        <v>0</v>
      </c>
      <c r="R28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85" t="s">
        <v>24</v>
      </c>
      <c r="T285">
        <v>27</v>
      </c>
      <c r="U285" s="5">
        <f>MAX(0,MIN(1,1-ABS(supply_chain_data[[#This Row],[Forecast Demand]]-supply_chain_data[[#This Row],[Units Sold]])/supply_chain_data[[#This Row],[Forecast Demand]]))</f>
        <v>0.11111111111111116</v>
      </c>
      <c r="V285" s="4">
        <f>supply_chain_data[[#This Row],[Closing Stock]]/supply_chain_data[[#This Row],[Forecast Demand]]</f>
        <v>8.7777777777777786</v>
      </c>
      <c r="W285">
        <v>140541</v>
      </c>
    </row>
    <row r="286" spans="1:23" hidden="1" x14ac:dyDescent="0.35">
      <c r="A286" t="s">
        <v>18</v>
      </c>
      <c r="B286" t="s">
        <v>19</v>
      </c>
      <c r="C286" t="s">
        <v>20</v>
      </c>
      <c r="D286" t="s">
        <v>43</v>
      </c>
      <c r="E286" t="s">
        <v>48</v>
      </c>
      <c r="F286" t="s">
        <v>33</v>
      </c>
      <c r="G286" s="3">
        <v>45336</v>
      </c>
      <c r="H286">
        <v>60</v>
      </c>
      <c r="I286">
        <v>58</v>
      </c>
      <c r="J286" t="str">
        <f>IF(supply_chain_data[[#This Row],[Units Sold]]&gt;supply_chain_data[[#This Row],[Opening Stock]],"Yes","No")</f>
        <v>No</v>
      </c>
      <c r="K286">
        <v>7</v>
      </c>
      <c r="L286">
        <f>supply_chain_data[[#This Row],[Opening Stock]]+supply_chain_data[[#This Row],[Units Received]]-supply_chain_data[[#This Row],[Units Sold]]</f>
        <v>9</v>
      </c>
      <c r="M286">
        <v>9</v>
      </c>
      <c r="N286">
        <v>67</v>
      </c>
      <c r="O286" s="2">
        <v>1375</v>
      </c>
      <c r="P286">
        <v>7</v>
      </c>
      <c r="Q286">
        <v>4</v>
      </c>
      <c r="R28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286" t="s">
        <v>36</v>
      </c>
      <c r="T286">
        <v>42</v>
      </c>
      <c r="U286" s="5">
        <f>MAX(0,MIN(1,1-ABS(supply_chain_data[[#This Row],[Forecast Demand]]-supply_chain_data[[#This Row],[Units Sold]])/supply_chain_data[[#This Row],[Forecast Demand]]))</f>
        <v>0.61904761904761907</v>
      </c>
      <c r="V286" s="4">
        <f>supply_chain_data[[#This Row],[Closing Stock]]/supply_chain_data[[#This Row],[Forecast Demand]]</f>
        <v>0.21428571428571427</v>
      </c>
      <c r="W286">
        <v>12375</v>
      </c>
    </row>
    <row r="287" spans="1:23" x14ac:dyDescent="0.35">
      <c r="A287" t="s">
        <v>25</v>
      </c>
      <c r="B287" t="s">
        <v>26</v>
      </c>
      <c r="C287" t="s">
        <v>20</v>
      </c>
      <c r="D287" t="s">
        <v>39</v>
      </c>
      <c r="E287" t="s">
        <v>40</v>
      </c>
      <c r="F287" t="s">
        <v>33</v>
      </c>
      <c r="G287" s="3">
        <v>45337</v>
      </c>
      <c r="H287">
        <v>285</v>
      </c>
      <c r="I287">
        <v>41</v>
      </c>
      <c r="J287" t="str">
        <f>IF(supply_chain_data[[#This Row],[Units Sold]]&gt;supply_chain_data[[#This Row],[Opening Stock]],"Yes","No")</f>
        <v>No</v>
      </c>
      <c r="K287">
        <v>0</v>
      </c>
      <c r="L287">
        <f>supply_chain_data[[#This Row],[Opening Stock]]+supply_chain_data[[#This Row],[Units Received]]-supply_chain_data[[#This Row],[Units Sold]]</f>
        <v>244</v>
      </c>
      <c r="M287">
        <v>244</v>
      </c>
      <c r="N287">
        <v>41</v>
      </c>
      <c r="O287" s="2">
        <v>1312</v>
      </c>
      <c r="P287">
        <v>9</v>
      </c>
      <c r="Q287">
        <v>1</v>
      </c>
      <c r="R28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87" t="s">
        <v>24</v>
      </c>
      <c r="T287">
        <v>46</v>
      </c>
      <c r="U287" s="5">
        <f>MAX(0,MIN(1,1-ABS(supply_chain_data[[#This Row],[Forecast Demand]]-supply_chain_data[[#This Row],[Units Sold]])/supply_chain_data[[#This Row],[Forecast Demand]]))</f>
        <v>0.89130434782608692</v>
      </c>
      <c r="V287" s="4">
        <f>supply_chain_data[[#This Row],[Closing Stock]]/supply_chain_data[[#This Row],[Forecast Demand]]</f>
        <v>5.3043478260869561</v>
      </c>
      <c r="W287">
        <v>320128</v>
      </c>
    </row>
    <row r="288" spans="1:23" x14ac:dyDescent="0.35">
      <c r="A288" t="s">
        <v>25</v>
      </c>
      <c r="B288" t="s">
        <v>26</v>
      </c>
      <c r="C288" t="s">
        <v>20</v>
      </c>
      <c r="D288" t="s">
        <v>21</v>
      </c>
      <c r="E288" t="s">
        <v>27</v>
      </c>
      <c r="F288" t="s">
        <v>33</v>
      </c>
      <c r="G288" s="3">
        <v>45338</v>
      </c>
      <c r="H288">
        <v>231</v>
      </c>
      <c r="I288">
        <v>24</v>
      </c>
      <c r="J288" t="str">
        <f>IF(supply_chain_data[[#This Row],[Units Sold]]&gt;supply_chain_data[[#This Row],[Opening Stock]],"Yes","No")</f>
        <v>No</v>
      </c>
      <c r="K288">
        <v>52</v>
      </c>
      <c r="L288">
        <f>supply_chain_data[[#This Row],[Opening Stock]]+supply_chain_data[[#This Row],[Units Received]]-supply_chain_data[[#This Row],[Units Sold]]</f>
        <v>259</v>
      </c>
      <c r="M288">
        <v>259</v>
      </c>
      <c r="N288">
        <v>85</v>
      </c>
      <c r="O288" s="2">
        <v>474</v>
      </c>
      <c r="P288">
        <v>6</v>
      </c>
      <c r="Q288">
        <v>1</v>
      </c>
      <c r="R28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88" t="s">
        <v>24</v>
      </c>
      <c r="T288">
        <v>18</v>
      </c>
      <c r="U288" s="5">
        <f>MAX(0,MIN(1,1-ABS(supply_chain_data[[#This Row],[Forecast Demand]]-supply_chain_data[[#This Row],[Units Sold]])/supply_chain_data[[#This Row],[Forecast Demand]]))</f>
        <v>0.66666666666666674</v>
      </c>
      <c r="V288" s="4">
        <f>supply_chain_data[[#This Row],[Closing Stock]]/supply_chain_data[[#This Row],[Forecast Demand]]</f>
        <v>14.388888888888889</v>
      </c>
      <c r="W288">
        <v>122766</v>
      </c>
    </row>
    <row r="289" spans="1:23" hidden="1" x14ac:dyDescent="0.35">
      <c r="A289" t="s">
        <v>41</v>
      </c>
      <c r="B289" t="s">
        <v>42</v>
      </c>
      <c r="C289" t="s">
        <v>20</v>
      </c>
      <c r="D289" t="s">
        <v>37</v>
      </c>
      <c r="E289" t="s">
        <v>46</v>
      </c>
      <c r="F289" t="s">
        <v>30</v>
      </c>
      <c r="G289" s="3">
        <v>45339</v>
      </c>
      <c r="H289">
        <v>164</v>
      </c>
      <c r="I289">
        <v>52</v>
      </c>
      <c r="J289" t="str">
        <f>IF(supply_chain_data[[#This Row],[Units Sold]]&gt;supply_chain_data[[#This Row],[Opening Stock]],"Yes","No")</f>
        <v>No</v>
      </c>
      <c r="K289">
        <v>19</v>
      </c>
      <c r="L289">
        <f>supply_chain_data[[#This Row],[Opening Stock]]+supply_chain_data[[#This Row],[Units Received]]-supply_chain_data[[#This Row],[Units Sold]]</f>
        <v>131</v>
      </c>
      <c r="M289">
        <v>131</v>
      </c>
      <c r="N289">
        <v>88</v>
      </c>
      <c r="O289" s="2">
        <v>185</v>
      </c>
      <c r="P289">
        <v>15</v>
      </c>
      <c r="Q289">
        <v>10</v>
      </c>
      <c r="R28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89" t="s">
        <v>24</v>
      </c>
      <c r="T289">
        <v>45</v>
      </c>
      <c r="U289" s="5">
        <f>MAX(0,MIN(1,1-ABS(supply_chain_data[[#This Row],[Forecast Demand]]-supply_chain_data[[#This Row],[Units Sold]])/supply_chain_data[[#This Row],[Forecast Demand]]))</f>
        <v>0.84444444444444444</v>
      </c>
      <c r="V289" s="4">
        <f>supply_chain_data[[#This Row],[Closing Stock]]/supply_chain_data[[#This Row],[Forecast Demand]]</f>
        <v>2.911111111111111</v>
      </c>
      <c r="W289">
        <v>24235</v>
      </c>
    </row>
    <row r="290" spans="1:23" x14ac:dyDescent="0.35">
      <c r="A290" t="s">
        <v>18</v>
      </c>
      <c r="B290" t="s">
        <v>19</v>
      </c>
      <c r="C290" t="s">
        <v>20</v>
      </c>
      <c r="D290" t="s">
        <v>43</v>
      </c>
      <c r="E290" t="s">
        <v>44</v>
      </c>
      <c r="F290" t="s">
        <v>33</v>
      </c>
      <c r="G290" s="3">
        <v>45340</v>
      </c>
      <c r="H290">
        <v>226</v>
      </c>
      <c r="I290">
        <v>39</v>
      </c>
      <c r="J290" t="str">
        <f>IF(supply_chain_data[[#This Row],[Units Sold]]&gt;supply_chain_data[[#This Row],[Opening Stock]],"Yes","No")</f>
        <v>No</v>
      </c>
      <c r="K290">
        <v>50</v>
      </c>
      <c r="L290">
        <f>supply_chain_data[[#This Row],[Opening Stock]]+supply_chain_data[[#This Row],[Units Received]]-supply_chain_data[[#This Row],[Units Sold]]</f>
        <v>237</v>
      </c>
      <c r="M290">
        <v>237</v>
      </c>
      <c r="N290">
        <v>65</v>
      </c>
      <c r="O290" s="2">
        <v>1119</v>
      </c>
      <c r="P290">
        <v>7</v>
      </c>
      <c r="Q290">
        <v>6</v>
      </c>
      <c r="R29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90" t="s">
        <v>24</v>
      </c>
      <c r="T290">
        <v>10</v>
      </c>
      <c r="U290" s="5">
        <f>MAX(0,MIN(1,1-ABS(supply_chain_data[[#This Row],[Forecast Demand]]-supply_chain_data[[#This Row],[Units Sold]])/supply_chain_data[[#This Row],[Forecast Demand]]))</f>
        <v>0</v>
      </c>
      <c r="V290" s="4">
        <f>supply_chain_data[[#This Row],[Closing Stock]]/supply_chain_data[[#This Row],[Forecast Demand]]</f>
        <v>23.7</v>
      </c>
      <c r="W290">
        <v>265203</v>
      </c>
    </row>
    <row r="291" spans="1:23" x14ac:dyDescent="0.35">
      <c r="A291" t="s">
        <v>28</v>
      </c>
      <c r="B291" t="s">
        <v>29</v>
      </c>
      <c r="C291" t="s">
        <v>20</v>
      </c>
      <c r="D291" t="s">
        <v>39</v>
      </c>
      <c r="E291" t="s">
        <v>45</v>
      </c>
      <c r="F291" t="s">
        <v>30</v>
      </c>
      <c r="G291" s="3">
        <v>45341</v>
      </c>
      <c r="H291">
        <v>253</v>
      </c>
      <c r="I291">
        <v>23</v>
      </c>
      <c r="J291" t="str">
        <f>IF(supply_chain_data[[#This Row],[Units Sold]]&gt;supply_chain_data[[#This Row],[Opening Stock]],"Yes","No")</f>
        <v>No</v>
      </c>
      <c r="K291">
        <v>73</v>
      </c>
      <c r="L291">
        <f>supply_chain_data[[#This Row],[Opening Stock]]+supply_chain_data[[#This Row],[Units Received]]-supply_chain_data[[#This Row],[Units Sold]]</f>
        <v>303</v>
      </c>
      <c r="M291">
        <v>303</v>
      </c>
      <c r="N291">
        <v>53</v>
      </c>
      <c r="O291" s="2">
        <v>570</v>
      </c>
      <c r="P291">
        <v>7</v>
      </c>
      <c r="Q291">
        <v>9</v>
      </c>
      <c r="R29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91" t="s">
        <v>24</v>
      </c>
      <c r="T291">
        <v>42</v>
      </c>
      <c r="U291" s="5">
        <f>MAX(0,MIN(1,1-ABS(supply_chain_data[[#This Row],[Forecast Demand]]-supply_chain_data[[#This Row],[Units Sold]])/supply_chain_data[[#This Row],[Forecast Demand]]))</f>
        <v>0.54761904761904767</v>
      </c>
      <c r="V291" s="4">
        <f>supply_chain_data[[#This Row],[Closing Stock]]/supply_chain_data[[#This Row],[Forecast Demand]]</f>
        <v>7.2142857142857144</v>
      </c>
      <c r="W291">
        <v>172710</v>
      </c>
    </row>
    <row r="292" spans="1:23" hidden="1" x14ac:dyDescent="0.35">
      <c r="A292" t="s">
        <v>34</v>
      </c>
      <c r="B292" t="s">
        <v>35</v>
      </c>
      <c r="C292" t="s">
        <v>20</v>
      </c>
      <c r="D292" t="s">
        <v>37</v>
      </c>
      <c r="E292" t="s">
        <v>46</v>
      </c>
      <c r="F292" t="s">
        <v>23</v>
      </c>
      <c r="G292" s="3">
        <v>45342</v>
      </c>
      <c r="H292">
        <v>55</v>
      </c>
      <c r="I292">
        <v>11</v>
      </c>
      <c r="J292" t="str">
        <f>IF(supply_chain_data[[#This Row],[Units Sold]]&gt;supply_chain_data[[#This Row],[Opening Stock]],"Yes","No")</f>
        <v>No</v>
      </c>
      <c r="K292">
        <v>78</v>
      </c>
      <c r="L292">
        <f>supply_chain_data[[#This Row],[Opening Stock]]+supply_chain_data[[#This Row],[Units Received]]-supply_chain_data[[#This Row],[Units Sold]]</f>
        <v>122</v>
      </c>
      <c r="M292">
        <v>122</v>
      </c>
      <c r="N292">
        <v>53</v>
      </c>
      <c r="O292" s="2">
        <v>570</v>
      </c>
      <c r="P292">
        <v>11</v>
      </c>
      <c r="Q292">
        <v>10</v>
      </c>
      <c r="R29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92" t="s">
        <v>24</v>
      </c>
      <c r="T292">
        <v>57</v>
      </c>
      <c r="U292" s="5">
        <f>MAX(0,MIN(1,1-ABS(supply_chain_data[[#This Row],[Forecast Demand]]-supply_chain_data[[#This Row],[Units Sold]])/supply_chain_data[[#This Row],[Forecast Demand]]))</f>
        <v>0.19298245614035092</v>
      </c>
      <c r="V292" s="4">
        <f>supply_chain_data[[#This Row],[Closing Stock]]/supply_chain_data[[#This Row],[Forecast Demand]]</f>
        <v>2.1403508771929824</v>
      </c>
      <c r="W292">
        <v>69540</v>
      </c>
    </row>
    <row r="293" spans="1:23" hidden="1" x14ac:dyDescent="0.35">
      <c r="A293" t="s">
        <v>25</v>
      </c>
      <c r="B293" t="s">
        <v>26</v>
      </c>
      <c r="C293" t="s">
        <v>20</v>
      </c>
      <c r="D293" t="s">
        <v>39</v>
      </c>
      <c r="E293" t="s">
        <v>45</v>
      </c>
      <c r="F293" t="s">
        <v>23</v>
      </c>
      <c r="G293" s="3">
        <v>45343</v>
      </c>
      <c r="H293">
        <v>72</v>
      </c>
      <c r="I293">
        <v>10</v>
      </c>
      <c r="J293" t="str">
        <f>IF(supply_chain_data[[#This Row],[Units Sold]]&gt;supply_chain_data[[#This Row],[Opening Stock]],"Yes","No")</f>
        <v>No</v>
      </c>
      <c r="K293">
        <v>22</v>
      </c>
      <c r="L293">
        <f>supply_chain_data[[#This Row],[Opening Stock]]+supply_chain_data[[#This Row],[Units Received]]-supply_chain_data[[#This Row],[Units Sold]]</f>
        <v>84</v>
      </c>
      <c r="M293">
        <v>84</v>
      </c>
      <c r="N293">
        <v>91</v>
      </c>
      <c r="O293" s="2">
        <v>1375</v>
      </c>
      <c r="P293">
        <v>12</v>
      </c>
      <c r="Q293">
        <v>6</v>
      </c>
      <c r="R29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293" t="s">
        <v>36</v>
      </c>
      <c r="T293">
        <v>66</v>
      </c>
      <c r="U293" s="5">
        <f>MAX(0,MIN(1,1-ABS(supply_chain_data[[#This Row],[Forecast Demand]]-supply_chain_data[[#This Row],[Units Sold]])/supply_chain_data[[#This Row],[Forecast Demand]]))</f>
        <v>0.15151515151515149</v>
      </c>
      <c r="V293" s="4">
        <f>supply_chain_data[[#This Row],[Closing Stock]]/supply_chain_data[[#This Row],[Forecast Demand]]</f>
        <v>1.2727272727272727</v>
      </c>
      <c r="W293">
        <v>115500</v>
      </c>
    </row>
    <row r="294" spans="1:23" hidden="1" x14ac:dyDescent="0.35">
      <c r="A294" t="s">
        <v>25</v>
      </c>
      <c r="B294" t="s">
        <v>26</v>
      </c>
      <c r="C294" t="s">
        <v>20</v>
      </c>
      <c r="D294" t="s">
        <v>21</v>
      </c>
      <c r="E294" t="s">
        <v>22</v>
      </c>
      <c r="F294" t="s">
        <v>23</v>
      </c>
      <c r="G294" s="3">
        <v>45344</v>
      </c>
      <c r="H294">
        <v>139</v>
      </c>
      <c r="I294">
        <v>55</v>
      </c>
      <c r="J294" t="str">
        <f>IF(supply_chain_data[[#This Row],[Units Sold]]&gt;supply_chain_data[[#This Row],[Opening Stock]],"Yes","No")</f>
        <v>No</v>
      </c>
      <c r="K294">
        <v>7</v>
      </c>
      <c r="L294">
        <f>supply_chain_data[[#This Row],[Opening Stock]]+supply_chain_data[[#This Row],[Units Received]]-supply_chain_data[[#This Row],[Units Sold]]</f>
        <v>91</v>
      </c>
      <c r="M294">
        <v>91</v>
      </c>
      <c r="N294">
        <v>97</v>
      </c>
      <c r="O294" s="2">
        <v>675</v>
      </c>
      <c r="P294">
        <v>4</v>
      </c>
      <c r="Q294">
        <v>9</v>
      </c>
      <c r="R29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294" t="s">
        <v>36</v>
      </c>
      <c r="T294">
        <v>63</v>
      </c>
      <c r="U294" s="5">
        <f>MAX(0,MIN(1,1-ABS(supply_chain_data[[#This Row],[Forecast Demand]]-supply_chain_data[[#This Row],[Units Sold]])/supply_chain_data[[#This Row],[Forecast Demand]]))</f>
        <v>0.87301587301587302</v>
      </c>
      <c r="V294" s="4">
        <f>supply_chain_data[[#This Row],[Closing Stock]]/supply_chain_data[[#This Row],[Forecast Demand]]</f>
        <v>1.4444444444444444</v>
      </c>
      <c r="W294">
        <v>61425</v>
      </c>
    </row>
    <row r="295" spans="1:23" x14ac:dyDescent="0.35">
      <c r="A295" t="s">
        <v>25</v>
      </c>
      <c r="B295" t="s">
        <v>26</v>
      </c>
      <c r="C295" t="s">
        <v>20</v>
      </c>
      <c r="D295" t="s">
        <v>21</v>
      </c>
      <c r="E295" t="s">
        <v>27</v>
      </c>
      <c r="F295" t="s">
        <v>30</v>
      </c>
      <c r="G295" s="3">
        <v>45345</v>
      </c>
      <c r="H295">
        <v>156</v>
      </c>
      <c r="I295">
        <v>23</v>
      </c>
      <c r="J295" t="str">
        <f>IF(supply_chain_data[[#This Row],[Units Sold]]&gt;supply_chain_data[[#This Row],[Opening Stock]],"Yes","No")</f>
        <v>No</v>
      </c>
      <c r="K295">
        <v>19</v>
      </c>
      <c r="L295">
        <f>supply_chain_data[[#This Row],[Opening Stock]]+supply_chain_data[[#This Row],[Units Received]]-supply_chain_data[[#This Row],[Units Sold]]</f>
        <v>152</v>
      </c>
      <c r="M295">
        <v>152</v>
      </c>
      <c r="N295">
        <v>81</v>
      </c>
      <c r="O295" s="2">
        <v>1156</v>
      </c>
      <c r="P295">
        <v>2</v>
      </c>
      <c r="Q295">
        <v>1</v>
      </c>
      <c r="R29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95" t="s">
        <v>24</v>
      </c>
      <c r="T295">
        <v>11</v>
      </c>
      <c r="U295" s="5">
        <f>MAX(0,MIN(1,1-ABS(supply_chain_data[[#This Row],[Forecast Demand]]-supply_chain_data[[#This Row],[Units Sold]])/supply_chain_data[[#This Row],[Forecast Demand]]))</f>
        <v>0</v>
      </c>
      <c r="V295" s="4">
        <f>supply_chain_data[[#This Row],[Closing Stock]]/supply_chain_data[[#This Row],[Forecast Demand]]</f>
        <v>13.818181818181818</v>
      </c>
      <c r="W295">
        <v>175712</v>
      </c>
    </row>
    <row r="296" spans="1:23" x14ac:dyDescent="0.35">
      <c r="A296" t="s">
        <v>25</v>
      </c>
      <c r="B296" t="s">
        <v>26</v>
      </c>
      <c r="C296" t="s">
        <v>20</v>
      </c>
      <c r="D296" t="s">
        <v>39</v>
      </c>
      <c r="E296" t="s">
        <v>45</v>
      </c>
      <c r="F296" t="s">
        <v>23</v>
      </c>
      <c r="G296" s="3">
        <v>45346</v>
      </c>
      <c r="H296">
        <v>235</v>
      </c>
      <c r="I296">
        <v>15</v>
      </c>
      <c r="J296" t="str">
        <f>IF(supply_chain_data[[#This Row],[Units Sold]]&gt;supply_chain_data[[#This Row],[Opening Stock]],"Yes","No")</f>
        <v>No</v>
      </c>
      <c r="K296">
        <v>72</v>
      </c>
      <c r="L296">
        <f>supply_chain_data[[#This Row],[Opening Stock]]+supply_chain_data[[#This Row],[Units Received]]-supply_chain_data[[#This Row],[Units Sold]]</f>
        <v>292</v>
      </c>
      <c r="M296">
        <v>292</v>
      </c>
      <c r="N296">
        <v>50</v>
      </c>
      <c r="O296" s="2">
        <v>107</v>
      </c>
      <c r="P296">
        <v>5</v>
      </c>
      <c r="Q296">
        <v>3</v>
      </c>
      <c r="R29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296" t="s">
        <v>24</v>
      </c>
      <c r="T296">
        <v>50</v>
      </c>
      <c r="U296" s="5">
        <f>MAX(0,MIN(1,1-ABS(supply_chain_data[[#This Row],[Forecast Demand]]-supply_chain_data[[#This Row],[Units Sold]])/supply_chain_data[[#This Row],[Forecast Demand]]))</f>
        <v>0.30000000000000004</v>
      </c>
      <c r="V296" s="4">
        <f>supply_chain_data[[#This Row],[Closing Stock]]/supply_chain_data[[#This Row],[Forecast Demand]]</f>
        <v>5.84</v>
      </c>
      <c r="W296">
        <v>31244</v>
      </c>
    </row>
    <row r="297" spans="1:23" hidden="1" x14ac:dyDescent="0.35">
      <c r="A297" t="s">
        <v>34</v>
      </c>
      <c r="B297" t="s">
        <v>35</v>
      </c>
      <c r="C297" t="s">
        <v>20</v>
      </c>
      <c r="D297" t="s">
        <v>39</v>
      </c>
      <c r="E297" t="s">
        <v>40</v>
      </c>
      <c r="F297" t="s">
        <v>33</v>
      </c>
      <c r="G297" s="3">
        <v>45347</v>
      </c>
      <c r="H297">
        <v>67</v>
      </c>
      <c r="I297">
        <v>25</v>
      </c>
      <c r="J297" t="str">
        <f>IF(supply_chain_data[[#This Row],[Units Sold]]&gt;supply_chain_data[[#This Row],[Opening Stock]],"Yes","No")</f>
        <v>No</v>
      </c>
      <c r="K297">
        <v>26</v>
      </c>
      <c r="L297">
        <f>supply_chain_data[[#This Row],[Opening Stock]]+supply_chain_data[[#This Row],[Units Received]]-supply_chain_data[[#This Row],[Units Sold]]</f>
        <v>68</v>
      </c>
      <c r="M297">
        <v>68</v>
      </c>
      <c r="N297">
        <v>84</v>
      </c>
      <c r="O297" s="2">
        <v>488</v>
      </c>
      <c r="P297">
        <v>7</v>
      </c>
      <c r="Q297">
        <v>0</v>
      </c>
      <c r="R29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297" t="s">
        <v>36</v>
      </c>
      <c r="T297">
        <v>51</v>
      </c>
      <c r="U297" s="5">
        <f>MAX(0,MIN(1,1-ABS(supply_chain_data[[#This Row],[Forecast Demand]]-supply_chain_data[[#This Row],[Units Sold]])/supply_chain_data[[#This Row],[Forecast Demand]]))</f>
        <v>0.49019607843137258</v>
      </c>
      <c r="V297" s="4">
        <f>supply_chain_data[[#This Row],[Closing Stock]]/supply_chain_data[[#This Row],[Forecast Demand]]</f>
        <v>1.3333333333333333</v>
      </c>
      <c r="W297">
        <v>33184</v>
      </c>
    </row>
    <row r="298" spans="1:23" hidden="1" x14ac:dyDescent="0.35">
      <c r="A298" t="s">
        <v>18</v>
      </c>
      <c r="B298" t="s">
        <v>19</v>
      </c>
      <c r="C298" t="s">
        <v>20</v>
      </c>
      <c r="D298" t="s">
        <v>21</v>
      </c>
      <c r="E298" t="s">
        <v>27</v>
      </c>
      <c r="F298" t="s">
        <v>30</v>
      </c>
      <c r="G298" s="3">
        <v>45348</v>
      </c>
      <c r="H298">
        <v>93</v>
      </c>
      <c r="I298">
        <v>33</v>
      </c>
      <c r="J298" t="str">
        <f>IF(supply_chain_data[[#This Row],[Units Sold]]&gt;supply_chain_data[[#This Row],[Opening Stock]],"Yes","No")</f>
        <v>No</v>
      </c>
      <c r="K298">
        <v>6</v>
      </c>
      <c r="L298">
        <f>supply_chain_data[[#This Row],[Opening Stock]]+supply_chain_data[[#This Row],[Units Received]]-supply_chain_data[[#This Row],[Units Sold]]</f>
        <v>66</v>
      </c>
      <c r="M298">
        <v>66</v>
      </c>
      <c r="N298">
        <v>60</v>
      </c>
      <c r="O298" s="2">
        <v>1006</v>
      </c>
      <c r="P298">
        <v>6</v>
      </c>
      <c r="Q298">
        <v>0</v>
      </c>
      <c r="R29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98" t="s">
        <v>24</v>
      </c>
      <c r="T298">
        <v>19</v>
      </c>
      <c r="U298" s="5">
        <f>MAX(0,MIN(1,1-ABS(supply_chain_data[[#This Row],[Forecast Demand]]-supply_chain_data[[#This Row],[Units Sold]])/supply_chain_data[[#This Row],[Forecast Demand]]))</f>
        <v>0.26315789473684215</v>
      </c>
      <c r="V298" s="4">
        <f>supply_chain_data[[#This Row],[Closing Stock]]/supply_chain_data[[#This Row],[Forecast Demand]]</f>
        <v>3.4736842105263159</v>
      </c>
      <c r="W298">
        <v>66396</v>
      </c>
    </row>
    <row r="299" spans="1:23" hidden="1" x14ac:dyDescent="0.35">
      <c r="A299" t="s">
        <v>28</v>
      </c>
      <c r="B299" t="s">
        <v>29</v>
      </c>
      <c r="C299" t="s">
        <v>20</v>
      </c>
      <c r="D299" t="s">
        <v>31</v>
      </c>
      <c r="E299" t="s">
        <v>47</v>
      </c>
      <c r="F299" t="s">
        <v>30</v>
      </c>
      <c r="G299" s="3">
        <v>45349</v>
      </c>
      <c r="H299">
        <v>135</v>
      </c>
      <c r="I299">
        <v>36</v>
      </c>
      <c r="J299" t="str">
        <f>IF(supply_chain_data[[#This Row],[Units Sold]]&gt;supply_chain_data[[#This Row],[Opening Stock]],"Yes","No")</f>
        <v>No</v>
      </c>
      <c r="K299">
        <v>0</v>
      </c>
      <c r="L299">
        <f>supply_chain_data[[#This Row],[Opening Stock]]+supply_chain_data[[#This Row],[Units Received]]-supply_chain_data[[#This Row],[Units Sold]]</f>
        <v>99</v>
      </c>
      <c r="M299">
        <v>99</v>
      </c>
      <c r="N299">
        <v>72</v>
      </c>
      <c r="O299" s="2">
        <v>653</v>
      </c>
      <c r="P299">
        <v>3</v>
      </c>
      <c r="Q299">
        <v>1</v>
      </c>
      <c r="R29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299" t="s">
        <v>24</v>
      </c>
      <c r="T299">
        <v>41</v>
      </c>
      <c r="U299" s="5">
        <f>MAX(0,MIN(1,1-ABS(supply_chain_data[[#This Row],[Forecast Demand]]-supply_chain_data[[#This Row],[Units Sold]])/supply_chain_data[[#This Row],[Forecast Demand]]))</f>
        <v>0.87804878048780488</v>
      </c>
      <c r="V299" s="4">
        <f>supply_chain_data[[#This Row],[Closing Stock]]/supply_chain_data[[#This Row],[Forecast Demand]]</f>
        <v>2.4146341463414633</v>
      </c>
      <c r="W299">
        <v>64647</v>
      </c>
    </row>
    <row r="300" spans="1:23" x14ac:dyDescent="0.35">
      <c r="A300" t="s">
        <v>41</v>
      </c>
      <c r="B300" t="s">
        <v>42</v>
      </c>
      <c r="C300" t="s">
        <v>20</v>
      </c>
      <c r="D300" t="s">
        <v>43</v>
      </c>
      <c r="E300" t="s">
        <v>44</v>
      </c>
      <c r="F300" t="s">
        <v>33</v>
      </c>
      <c r="G300" s="3">
        <v>45350</v>
      </c>
      <c r="H300">
        <v>292</v>
      </c>
      <c r="I300">
        <v>7</v>
      </c>
      <c r="J300" t="str">
        <f>IF(supply_chain_data[[#This Row],[Units Sold]]&gt;supply_chain_data[[#This Row],[Opening Stock]],"Yes","No")</f>
        <v>No</v>
      </c>
      <c r="K300">
        <v>36</v>
      </c>
      <c r="L300">
        <f>supply_chain_data[[#This Row],[Opening Stock]]+supply_chain_data[[#This Row],[Units Received]]-supply_chain_data[[#This Row],[Units Sold]]</f>
        <v>321</v>
      </c>
      <c r="M300">
        <v>321</v>
      </c>
      <c r="N300">
        <v>60</v>
      </c>
      <c r="O300" s="2">
        <v>600</v>
      </c>
      <c r="P300">
        <v>12</v>
      </c>
      <c r="Q300">
        <v>10</v>
      </c>
      <c r="R30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00" t="s">
        <v>24</v>
      </c>
      <c r="T300">
        <v>31</v>
      </c>
      <c r="U300" s="5">
        <f>MAX(0,MIN(1,1-ABS(supply_chain_data[[#This Row],[Forecast Demand]]-supply_chain_data[[#This Row],[Units Sold]])/supply_chain_data[[#This Row],[Forecast Demand]]))</f>
        <v>0.22580645161290325</v>
      </c>
      <c r="V300" s="4">
        <f>supply_chain_data[[#This Row],[Closing Stock]]/supply_chain_data[[#This Row],[Forecast Demand]]</f>
        <v>10.35483870967742</v>
      </c>
      <c r="W300">
        <v>192600</v>
      </c>
    </row>
    <row r="301" spans="1:23" x14ac:dyDescent="0.35">
      <c r="A301" t="s">
        <v>34</v>
      </c>
      <c r="B301" t="s">
        <v>35</v>
      </c>
      <c r="C301" t="s">
        <v>20</v>
      </c>
      <c r="D301" t="s">
        <v>21</v>
      </c>
      <c r="E301" t="s">
        <v>27</v>
      </c>
      <c r="F301" t="s">
        <v>23</v>
      </c>
      <c r="G301" s="3">
        <v>45351</v>
      </c>
      <c r="H301">
        <v>164</v>
      </c>
      <c r="I301">
        <v>57</v>
      </c>
      <c r="J301" t="str">
        <f>IF(supply_chain_data[[#This Row],[Units Sold]]&gt;supply_chain_data[[#This Row],[Opening Stock]],"Yes","No")</f>
        <v>No</v>
      </c>
      <c r="K301">
        <v>28</v>
      </c>
      <c r="L301">
        <f>supply_chain_data[[#This Row],[Opening Stock]]+supply_chain_data[[#This Row],[Units Received]]-supply_chain_data[[#This Row],[Units Sold]]</f>
        <v>135</v>
      </c>
      <c r="M301">
        <v>135</v>
      </c>
      <c r="N301">
        <v>79</v>
      </c>
      <c r="O301" s="2">
        <v>606</v>
      </c>
      <c r="P301">
        <v>6</v>
      </c>
      <c r="Q301">
        <v>5</v>
      </c>
      <c r="R30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01" t="s">
        <v>24</v>
      </c>
      <c r="T301">
        <v>26</v>
      </c>
      <c r="U301" s="5">
        <f>MAX(0,MIN(1,1-ABS(supply_chain_data[[#This Row],[Forecast Demand]]-supply_chain_data[[#This Row],[Units Sold]])/supply_chain_data[[#This Row],[Forecast Demand]]))</f>
        <v>0</v>
      </c>
      <c r="V301" s="4">
        <f>supply_chain_data[[#This Row],[Closing Stock]]/supply_chain_data[[#This Row],[Forecast Demand]]</f>
        <v>5.1923076923076925</v>
      </c>
      <c r="W301">
        <v>81810</v>
      </c>
    </row>
    <row r="302" spans="1:23" x14ac:dyDescent="0.35">
      <c r="A302" t="s">
        <v>25</v>
      </c>
      <c r="B302" t="s">
        <v>26</v>
      </c>
      <c r="C302" t="s">
        <v>20</v>
      </c>
      <c r="D302" t="s">
        <v>21</v>
      </c>
      <c r="E302" t="s">
        <v>22</v>
      </c>
      <c r="F302" t="s">
        <v>33</v>
      </c>
      <c r="G302" s="3">
        <v>45352</v>
      </c>
      <c r="H302">
        <v>292</v>
      </c>
      <c r="I302">
        <v>20</v>
      </c>
      <c r="J302" t="str">
        <f>IF(supply_chain_data[[#This Row],[Units Sold]]&gt;supply_chain_data[[#This Row],[Opening Stock]],"Yes","No")</f>
        <v>No</v>
      </c>
      <c r="K302">
        <v>56</v>
      </c>
      <c r="L302">
        <f>supply_chain_data[[#This Row],[Opening Stock]]+supply_chain_data[[#This Row],[Units Received]]-supply_chain_data[[#This Row],[Units Sold]]</f>
        <v>328</v>
      </c>
      <c r="M302">
        <v>328</v>
      </c>
      <c r="N302">
        <v>89</v>
      </c>
      <c r="O302" s="2">
        <v>1484</v>
      </c>
      <c r="P302">
        <v>9</v>
      </c>
      <c r="Q302">
        <v>10</v>
      </c>
      <c r="R30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02" t="s">
        <v>24</v>
      </c>
      <c r="T302">
        <v>40</v>
      </c>
      <c r="U302" s="5">
        <f>MAX(0,MIN(1,1-ABS(supply_chain_data[[#This Row],[Forecast Demand]]-supply_chain_data[[#This Row],[Units Sold]])/supply_chain_data[[#This Row],[Forecast Demand]]))</f>
        <v>0.5</v>
      </c>
      <c r="V302" s="4">
        <f>supply_chain_data[[#This Row],[Closing Stock]]/supply_chain_data[[#This Row],[Forecast Demand]]</f>
        <v>8.1999999999999993</v>
      </c>
      <c r="W302">
        <v>486752</v>
      </c>
    </row>
    <row r="303" spans="1:23" hidden="1" x14ac:dyDescent="0.35">
      <c r="A303" t="s">
        <v>25</v>
      </c>
      <c r="B303" t="s">
        <v>26</v>
      </c>
      <c r="C303" t="s">
        <v>20</v>
      </c>
      <c r="D303" t="s">
        <v>31</v>
      </c>
      <c r="E303" t="s">
        <v>47</v>
      </c>
      <c r="F303" t="s">
        <v>30</v>
      </c>
      <c r="G303" s="3">
        <v>45353</v>
      </c>
      <c r="H303">
        <v>108</v>
      </c>
      <c r="I303">
        <v>23</v>
      </c>
      <c r="J303" t="str">
        <f>IF(supply_chain_data[[#This Row],[Units Sold]]&gt;supply_chain_data[[#This Row],[Opening Stock]],"Yes","No")</f>
        <v>No</v>
      </c>
      <c r="K303">
        <v>14</v>
      </c>
      <c r="L303">
        <f>supply_chain_data[[#This Row],[Opening Stock]]+supply_chain_data[[#This Row],[Units Received]]-supply_chain_data[[#This Row],[Units Sold]]</f>
        <v>99</v>
      </c>
      <c r="M303">
        <v>99</v>
      </c>
      <c r="N303">
        <v>79</v>
      </c>
      <c r="O303" s="2">
        <v>168</v>
      </c>
      <c r="P303">
        <v>9</v>
      </c>
      <c r="Q303">
        <v>10</v>
      </c>
      <c r="R30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03" t="s">
        <v>24</v>
      </c>
      <c r="T303">
        <v>27</v>
      </c>
      <c r="U303" s="5">
        <f>MAX(0,MIN(1,1-ABS(supply_chain_data[[#This Row],[Forecast Demand]]-supply_chain_data[[#This Row],[Units Sold]])/supply_chain_data[[#This Row],[Forecast Demand]]))</f>
        <v>0.85185185185185186</v>
      </c>
      <c r="V303" s="4">
        <f>supply_chain_data[[#This Row],[Closing Stock]]/supply_chain_data[[#This Row],[Forecast Demand]]</f>
        <v>3.6666666666666665</v>
      </c>
      <c r="W303">
        <v>16632</v>
      </c>
    </row>
    <row r="304" spans="1:23" hidden="1" x14ac:dyDescent="0.35">
      <c r="A304" t="s">
        <v>28</v>
      </c>
      <c r="B304" t="s">
        <v>29</v>
      </c>
      <c r="C304" t="s">
        <v>20</v>
      </c>
      <c r="D304" t="s">
        <v>21</v>
      </c>
      <c r="E304" t="s">
        <v>22</v>
      </c>
      <c r="F304" t="s">
        <v>33</v>
      </c>
      <c r="G304" s="3">
        <v>45354</v>
      </c>
      <c r="H304">
        <v>188</v>
      </c>
      <c r="I304">
        <v>41</v>
      </c>
      <c r="J304" t="str">
        <f>IF(supply_chain_data[[#This Row],[Units Sold]]&gt;supply_chain_data[[#This Row],[Opening Stock]],"Yes","No")</f>
        <v>No</v>
      </c>
      <c r="K304">
        <v>36</v>
      </c>
      <c r="L304">
        <f>supply_chain_data[[#This Row],[Opening Stock]]+supply_chain_data[[#This Row],[Units Received]]-supply_chain_data[[#This Row],[Units Sold]]</f>
        <v>183</v>
      </c>
      <c r="M304">
        <v>183</v>
      </c>
      <c r="N304">
        <v>90</v>
      </c>
      <c r="O304" s="2">
        <v>110</v>
      </c>
      <c r="P304">
        <v>6</v>
      </c>
      <c r="Q304">
        <v>0</v>
      </c>
      <c r="R30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04" t="s">
        <v>24</v>
      </c>
      <c r="T304">
        <v>54</v>
      </c>
      <c r="U304" s="5">
        <f>MAX(0,MIN(1,1-ABS(supply_chain_data[[#This Row],[Forecast Demand]]-supply_chain_data[[#This Row],[Units Sold]])/supply_chain_data[[#This Row],[Forecast Demand]]))</f>
        <v>0.7592592592592593</v>
      </c>
      <c r="V304" s="4">
        <f>supply_chain_data[[#This Row],[Closing Stock]]/supply_chain_data[[#This Row],[Forecast Demand]]</f>
        <v>3.3888888888888888</v>
      </c>
      <c r="W304">
        <v>20130</v>
      </c>
    </row>
    <row r="305" spans="1:23" hidden="1" x14ac:dyDescent="0.35">
      <c r="A305" t="s">
        <v>34</v>
      </c>
      <c r="B305" t="s">
        <v>35</v>
      </c>
      <c r="C305" t="s">
        <v>20</v>
      </c>
      <c r="D305" t="s">
        <v>21</v>
      </c>
      <c r="E305" t="s">
        <v>22</v>
      </c>
      <c r="F305" t="s">
        <v>30</v>
      </c>
      <c r="G305" s="3">
        <v>45355</v>
      </c>
      <c r="H305">
        <v>56</v>
      </c>
      <c r="I305">
        <v>9</v>
      </c>
      <c r="J305" t="str">
        <f>IF(supply_chain_data[[#This Row],[Units Sold]]&gt;supply_chain_data[[#This Row],[Opening Stock]],"Yes","No")</f>
        <v>No</v>
      </c>
      <c r="K305">
        <v>33</v>
      </c>
      <c r="L305">
        <f>supply_chain_data[[#This Row],[Opening Stock]]+supply_chain_data[[#This Row],[Units Received]]-supply_chain_data[[#This Row],[Units Sold]]</f>
        <v>80</v>
      </c>
      <c r="M305">
        <v>80</v>
      </c>
      <c r="N305">
        <v>93</v>
      </c>
      <c r="O305" s="2">
        <v>207</v>
      </c>
      <c r="P305">
        <v>15</v>
      </c>
      <c r="Q305">
        <v>5</v>
      </c>
      <c r="R30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305" t="s">
        <v>36</v>
      </c>
      <c r="T305">
        <v>35</v>
      </c>
      <c r="U305" s="5">
        <f>MAX(0,MIN(1,1-ABS(supply_chain_data[[#This Row],[Forecast Demand]]-supply_chain_data[[#This Row],[Units Sold]])/supply_chain_data[[#This Row],[Forecast Demand]]))</f>
        <v>0.25714285714285712</v>
      </c>
      <c r="V305" s="4">
        <f>supply_chain_data[[#This Row],[Closing Stock]]/supply_chain_data[[#This Row],[Forecast Demand]]</f>
        <v>2.2857142857142856</v>
      </c>
      <c r="W305">
        <v>16560</v>
      </c>
    </row>
    <row r="306" spans="1:23" x14ac:dyDescent="0.35">
      <c r="A306" t="s">
        <v>34</v>
      </c>
      <c r="B306" t="s">
        <v>35</v>
      </c>
      <c r="C306" t="s">
        <v>20</v>
      </c>
      <c r="D306" t="s">
        <v>43</v>
      </c>
      <c r="E306" t="s">
        <v>44</v>
      </c>
      <c r="F306" t="s">
        <v>30</v>
      </c>
      <c r="G306" s="3">
        <v>45356</v>
      </c>
      <c r="H306">
        <v>218</v>
      </c>
      <c r="I306">
        <v>40</v>
      </c>
      <c r="J306" t="str">
        <f>IF(supply_chain_data[[#This Row],[Units Sold]]&gt;supply_chain_data[[#This Row],[Opening Stock]],"Yes","No")</f>
        <v>No</v>
      </c>
      <c r="K306">
        <v>62</v>
      </c>
      <c r="L306">
        <f>supply_chain_data[[#This Row],[Opening Stock]]+supply_chain_data[[#This Row],[Units Received]]-supply_chain_data[[#This Row],[Units Sold]]</f>
        <v>240</v>
      </c>
      <c r="M306">
        <v>240</v>
      </c>
      <c r="N306">
        <v>66</v>
      </c>
      <c r="O306" s="2">
        <v>885</v>
      </c>
      <c r="P306">
        <v>10</v>
      </c>
      <c r="Q306">
        <v>9</v>
      </c>
      <c r="R30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06" t="s">
        <v>24</v>
      </c>
      <c r="T306">
        <v>50</v>
      </c>
      <c r="U306" s="5">
        <f>MAX(0,MIN(1,1-ABS(supply_chain_data[[#This Row],[Forecast Demand]]-supply_chain_data[[#This Row],[Units Sold]])/supply_chain_data[[#This Row],[Forecast Demand]]))</f>
        <v>0.8</v>
      </c>
      <c r="V306" s="4">
        <f>supply_chain_data[[#This Row],[Closing Stock]]/supply_chain_data[[#This Row],[Forecast Demand]]</f>
        <v>4.8</v>
      </c>
      <c r="W306">
        <v>212400</v>
      </c>
    </row>
    <row r="307" spans="1:23" x14ac:dyDescent="0.35">
      <c r="A307" t="s">
        <v>18</v>
      </c>
      <c r="B307" t="s">
        <v>19</v>
      </c>
      <c r="C307" t="s">
        <v>20</v>
      </c>
      <c r="D307" t="s">
        <v>43</v>
      </c>
      <c r="E307" t="s">
        <v>44</v>
      </c>
      <c r="F307" t="s">
        <v>33</v>
      </c>
      <c r="G307" s="3">
        <v>45357</v>
      </c>
      <c r="H307">
        <v>291</v>
      </c>
      <c r="I307">
        <v>42</v>
      </c>
      <c r="J307" t="str">
        <f>IF(supply_chain_data[[#This Row],[Units Sold]]&gt;supply_chain_data[[#This Row],[Opening Stock]],"Yes","No")</f>
        <v>No</v>
      </c>
      <c r="K307">
        <v>15</v>
      </c>
      <c r="L307">
        <f>supply_chain_data[[#This Row],[Opening Stock]]+supply_chain_data[[#This Row],[Units Received]]-supply_chain_data[[#This Row],[Units Sold]]</f>
        <v>264</v>
      </c>
      <c r="M307">
        <v>264</v>
      </c>
      <c r="N307">
        <v>63</v>
      </c>
      <c r="O307" s="2">
        <v>57</v>
      </c>
      <c r="P307">
        <v>7</v>
      </c>
      <c r="Q307">
        <v>3</v>
      </c>
      <c r="R30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07" t="s">
        <v>24</v>
      </c>
      <c r="T307">
        <v>44</v>
      </c>
      <c r="U307" s="5">
        <f>MAX(0,MIN(1,1-ABS(supply_chain_data[[#This Row],[Forecast Demand]]-supply_chain_data[[#This Row],[Units Sold]])/supply_chain_data[[#This Row],[Forecast Demand]]))</f>
        <v>0.95454545454545459</v>
      </c>
      <c r="V307" s="4">
        <f>supply_chain_data[[#This Row],[Closing Stock]]/supply_chain_data[[#This Row],[Forecast Demand]]</f>
        <v>6</v>
      </c>
      <c r="W307">
        <v>15048</v>
      </c>
    </row>
    <row r="308" spans="1:23" x14ac:dyDescent="0.35">
      <c r="A308" t="s">
        <v>34</v>
      </c>
      <c r="B308" t="s">
        <v>35</v>
      </c>
      <c r="C308" t="s">
        <v>20</v>
      </c>
      <c r="D308" t="s">
        <v>43</v>
      </c>
      <c r="E308" t="s">
        <v>48</v>
      </c>
      <c r="F308" t="s">
        <v>30</v>
      </c>
      <c r="G308" s="3">
        <v>45358</v>
      </c>
      <c r="H308">
        <v>288</v>
      </c>
      <c r="I308">
        <v>48</v>
      </c>
      <c r="J308" t="str">
        <f>IF(supply_chain_data[[#This Row],[Units Sold]]&gt;supply_chain_data[[#This Row],[Opening Stock]],"Yes","No")</f>
        <v>No</v>
      </c>
      <c r="K308">
        <v>36</v>
      </c>
      <c r="L308">
        <f>supply_chain_data[[#This Row],[Opening Stock]]+supply_chain_data[[#This Row],[Units Received]]-supply_chain_data[[#This Row],[Units Sold]]</f>
        <v>276</v>
      </c>
      <c r="M308">
        <v>276</v>
      </c>
      <c r="N308">
        <v>88</v>
      </c>
      <c r="O308" s="2">
        <v>838</v>
      </c>
      <c r="P308">
        <v>5</v>
      </c>
      <c r="Q308">
        <v>5</v>
      </c>
      <c r="R30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08" t="s">
        <v>24</v>
      </c>
      <c r="T308">
        <v>36</v>
      </c>
      <c r="U308" s="5">
        <f>MAX(0,MIN(1,1-ABS(supply_chain_data[[#This Row],[Forecast Demand]]-supply_chain_data[[#This Row],[Units Sold]])/supply_chain_data[[#This Row],[Forecast Demand]]))</f>
        <v>0.66666666666666674</v>
      </c>
      <c r="V308" s="4">
        <f>supply_chain_data[[#This Row],[Closing Stock]]/supply_chain_data[[#This Row],[Forecast Demand]]</f>
        <v>7.666666666666667</v>
      </c>
      <c r="W308">
        <v>231288</v>
      </c>
    </row>
    <row r="309" spans="1:23" x14ac:dyDescent="0.35">
      <c r="A309" t="s">
        <v>34</v>
      </c>
      <c r="B309" t="s">
        <v>35</v>
      </c>
      <c r="C309" t="s">
        <v>20</v>
      </c>
      <c r="D309" t="s">
        <v>43</v>
      </c>
      <c r="E309" t="s">
        <v>44</v>
      </c>
      <c r="F309" t="s">
        <v>23</v>
      </c>
      <c r="G309" s="3">
        <v>45359</v>
      </c>
      <c r="H309">
        <v>110</v>
      </c>
      <c r="I309">
        <v>8</v>
      </c>
      <c r="J309" t="str">
        <f>IF(supply_chain_data[[#This Row],[Units Sold]]&gt;supply_chain_data[[#This Row],[Opening Stock]],"Yes","No")</f>
        <v>No</v>
      </c>
      <c r="K309">
        <v>32</v>
      </c>
      <c r="L309">
        <f>supply_chain_data[[#This Row],[Opening Stock]]+supply_chain_data[[#This Row],[Units Received]]-supply_chain_data[[#This Row],[Units Sold]]</f>
        <v>134</v>
      </c>
      <c r="M309">
        <v>134</v>
      </c>
      <c r="N309">
        <v>81</v>
      </c>
      <c r="O309" s="2">
        <v>921</v>
      </c>
      <c r="P309">
        <v>12</v>
      </c>
      <c r="Q309">
        <v>8</v>
      </c>
      <c r="R30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09" t="s">
        <v>24</v>
      </c>
      <c r="T309">
        <v>26</v>
      </c>
      <c r="U309" s="5">
        <f>MAX(0,MIN(1,1-ABS(supply_chain_data[[#This Row],[Forecast Demand]]-supply_chain_data[[#This Row],[Units Sold]])/supply_chain_data[[#This Row],[Forecast Demand]]))</f>
        <v>0.30769230769230771</v>
      </c>
      <c r="V309" s="4">
        <f>supply_chain_data[[#This Row],[Closing Stock]]/supply_chain_data[[#This Row],[Forecast Demand]]</f>
        <v>5.1538461538461542</v>
      </c>
      <c r="W309">
        <v>123414</v>
      </c>
    </row>
    <row r="310" spans="1:23" x14ac:dyDescent="0.35">
      <c r="A310" t="s">
        <v>34</v>
      </c>
      <c r="B310" t="s">
        <v>35</v>
      </c>
      <c r="C310" t="s">
        <v>20</v>
      </c>
      <c r="D310" t="s">
        <v>37</v>
      </c>
      <c r="E310" t="s">
        <v>38</v>
      </c>
      <c r="F310" t="s">
        <v>30</v>
      </c>
      <c r="G310" s="3">
        <v>45360</v>
      </c>
      <c r="H310">
        <v>227</v>
      </c>
      <c r="I310">
        <v>16</v>
      </c>
      <c r="J310" t="str">
        <f>IF(supply_chain_data[[#This Row],[Units Sold]]&gt;supply_chain_data[[#This Row],[Opening Stock]],"Yes","No")</f>
        <v>No</v>
      </c>
      <c r="K310">
        <v>29</v>
      </c>
      <c r="L310">
        <f>supply_chain_data[[#This Row],[Opening Stock]]+supply_chain_data[[#This Row],[Units Received]]-supply_chain_data[[#This Row],[Units Sold]]</f>
        <v>240</v>
      </c>
      <c r="M310">
        <v>240</v>
      </c>
      <c r="N310">
        <v>70</v>
      </c>
      <c r="O310" s="2">
        <v>759</v>
      </c>
      <c r="P310">
        <v>13</v>
      </c>
      <c r="Q310">
        <v>2</v>
      </c>
      <c r="R31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10" t="s">
        <v>24</v>
      </c>
      <c r="T310">
        <v>16</v>
      </c>
      <c r="U310" s="5">
        <f>MAX(0,MIN(1,1-ABS(supply_chain_data[[#This Row],[Forecast Demand]]-supply_chain_data[[#This Row],[Units Sold]])/supply_chain_data[[#This Row],[Forecast Demand]]))</f>
        <v>1</v>
      </c>
      <c r="V310" s="4">
        <f>supply_chain_data[[#This Row],[Closing Stock]]/supply_chain_data[[#This Row],[Forecast Demand]]</f>
        <v>15</v>
      </c>
      <c r="W310">
        <v>182160</v>
      </c>
    </row>
    <row r="311" spans="1:23" x14ac:dyDescent="0.35">
      <c r="A311" t="s">
        <v>34</v>
      </c>
      <c r="B311" t="s">
        <v>35</v>
      </c>
      <c r="C311" t="s">
        <v>20</v>
      </c>
      <c r="D311" t="s">
        <v>21</v>
      </c>
      <c r="E311" t="s">
        <v>27</v>
      </c>
      <c r="F311" t="s">
        <v>23</v>
      </c>
      <c r="G311" s="3">
        <v>45361</v>
      </c>
      <c r="H311">
        <v>210</v>
      </c>
      <c r="I311">
        <v>45</v>
      </c>
      <c r="J311" t="str">
        <f>IF(supply_chain_data[[#This Row],[Units Sold]]&gt;supply_chain_data[[#This Row],[Opening Stock]],"Yes","No")</f>
        <v>No</v>
      </c>
      <c r="K311">
        <v>61</v>
      </c>
      <c r="L311">
        <f>supply_chain_data[[#This Row],[Opening Stock]]+supply_chain_data[[#This Row],[Units Received]]-supply_chain_data[[#This Row],[Units Sold]]</f>
        <v>226</v>
      </c>
      <c r="M311">
        <v>226</v>
      </c>
      <c r="N311">
        <v>92</v>
      </c>
      <c r="O311" s="2">
        <v>1122</v>
      </c>
      <c r="P311">
        <v>7</v>
      </c>
      <c r="Q311">
        <v>8</v>
      </c>
      <c r="R31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11" t="s">
        <v>24</v>
      </c>
      <c r="T311">
        <v>19</v>
      </c>
      <c r="U311" s="5">
        <f>MAX(0,MIN(1,1-ABS(supply_chain_data[[#This Row],[Forecast Demand]]-supply_chain_data[[#This Row],[Units Sold]])/supply_chain_data[[#This Row],[Forecast Demand]]))</f>
        <v>0</v>
      </c>
      <c r="V311" s="4">
        <f>supply_chain_data[[#This Row],[Closing Stock]]/supply_chain_data[[#This Row],[Forecast Demand]]</f>
        <v>11.894736842105264</v>
      </c>
      <c r="W311">
        <v>253572</v>
      </c>
    </row>
    <row r="312" spans="1:23" hidden="1" x14ac:dyDescent="0.35">
      <c r="A312" t="s">
        <v>41</v>
      </c>
      <c r="B312" t="s">
        <v>42</v>
      </c>
      <c r="C312" t="s">
        <v>20</v>
      </c>
      <c r="D312" t="s">
        <v>21</v>
      </c>
      <c r="E312" t="s">
        <v>27</v>
      </c>
      <c r="F312" t="s">
        <v>23</v>
      </c>
      <c r="G312" s="3">
        <v>45362</v>
      </c>
      <c r="H312">
        <v>74</v>
      </c>
      <c r="I312">
        <v>26</v>
      </c>
      <c r="J312" t="str">
        <f>IF(supply_chain_data[[#This Row],[Units Sold]]&gt;supply_chain_data[[#This Row],[Opening Stock]],"Yes","No")</f>
        <v>No</v>
      </c>
      <c r="K312">
        <v>7</v>
      </c>
      <c r="L312">
        <f>supply_chain_data[[#This Row],[Opening Stock]]+supply_chain_data[[#This Row],[Units Received]]-supply_chain_data[[#This Row],[Units Sold]]</f>
        <v>55</v>
      </c>
      <c r="M312">
        <v>55</v>
      </c>
      <c r="N312">
        <v>90</v>
      </c>
      <c r="O312" s="2">
        <v>193</v>
      </c>
      <c r="P312">
        <v>4</v>
      </c>
      <c r="Q312">
        <v>6</v>
      </c>
      <c r="R31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312" t="s">
        <v>36</v>
      </c>
      <c r="T312">
        <v>40</v>
      </c>
      <c r="U312" s="5">
        <f>MAX(0,MIN(1,1-ABS(supply_chain_data[[#This Row],[Forecast Demand]]-supply_chain_data[[#This Row],[Units Sold]])/supply_chain_data[[#This Row],[Forecast Demand]]))</f>
        <v>0.65</v>
      </c>
      <c r="V312" s="4">
        <f>supply_chain_data[[#This Row],[Closing Stock]]/supply_chain_data[[#This Row],[Forecast Demand]]</f>
        <v>1.375</v>
      </c>
      <c r="W312">
        <v>10615</v>
      </c>
    </row>
    <row r="313" spans="1:23" x14ac:dyDescent="0.35">
      <c r="A313" t="s">
        <v>34</v>
      </c>
      <c r="B313" t="s">
        <v>35</v>
      </c>
      <c r="C313" t="s">
        <v>20</v>
      </c>
      <c r="D313" t="s">
        <v>31</v>
      </c>
      <c r="E313" t="s">
        <v>47</v>
      </c>
      <c r="F313" t="s">
        <v>33</v>
      </c>
      <c r="G313" s="3">
        <v>45363</v>
      </c>
      <c r="H313">
        <v>89</v>
      </c>
      <c r="I313">
        <v>42</v>
      </c>
      <c r="J313" t="str">
        <f>IF(supply_chain_data[[#This Row],[Units Sold]]&gt;supply_chain_data[[#This Row],[Opening Stock]],"Yes","No")</f>
        <v>No</v>
      </c>
      <c r="K313">
        <v>64</v>
      </c>
      <c r="L313">
        <f>supply_chain_data[[#This Row],[Opening Stock]]+supply_chain_data[[#This Row],[Units Received]]-supply_chain_data[[#This Row],[Units Sold]]</f>
        <v>111</v>
      </c>
      <c r="M313">
        <v>111</v>
      </c>
      <c r="N313">
        <v>94</v>
      </c>
      <c r="O313" s="2">
        <v>1000</v>
      </c>
      <c r="P313">
        <v>12</v>
      </c>
      <c r="Q313">
        <v>10</v>
      </c>
      <c r="R31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13" t="s">
        <v>24</v>
      </c>
      <c r="T313">
        <v>18</v>
      </c>
      <c r="U313" s="5">
        <f>MAX(0,MIN(1,1-ABS(supply_chain_data[[#This Row],[Forecast Demand]]-supply_chain_data[[#This Row],[Units Sold]])/supply_chain_data[[#This Row],[Forecast Demand]]))</f>
        <v>0</v>
      </c>
      <c r="V313" s="4">
        <f>supply_chain_data[[#This Row],[Closing Stock]]/supply_chain_data[[#This Row],[Forecast Demand]]</f>
        <v>6.166666666666667</v>
      </c>
      <c r="W313">
        <v>111000</v>
      </c>
    </row>
    <row r="314" spans="1:23" x14ac:dyDescent="0.35">
      <c r="A314" t="s">
        <v>34</v>
      </c>
      <c r="B314" t="s">
        <v>35</v>
      </c>
      <c r="C314" t="s">
        <v>20</v>
      </c>
      <c r="D314" t="s">
        <v>39</v>
      </c>
      <c r="E314" t="s">
        <v>40</v>
      </c>
      <c r="F314" t="s">
        <v>23</v>
      </c>
      <c r="G314" s="3">
        <v>45364</v>
      </c>
      <c r="H314">
        <v>164</v>
      </c>
      <c r="I314">
        <v>30</v>
      </c>
      <c r="J314" t="str">
        <f>IF(supply_chain_data[[#This Row],[Units Sold]]&gt;supply_chain_data[[#This Row],[Opening Stock]],"Yes","No")</f>
        <v>No</v>
      </c>
      <c r="K314">
        <v>12</v>
      </c>
      <c r="L314">
        <f>supply_chain_data[[#This Row],[Opening Stock]]+supply_chain_data[[#This Row],[Units Received]]-supply_chain_data[[#This Row],[Units Sold]]</f>
        <v>146</v>
      </c>
      <c r="M314">
        <v>146</v>
      </c>
      <c r="N314">
        <v>46</v>
      </c>
      <c r="O314" s="2">
        <v>754</v>
      </c>
      <c r="P314">
        <v>12</v>
      </c>
      <c r="Q314">
        <v>6</v>
      </c>
      <c r="R31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14" t="s">
        <v>24</v>
      </c>
      <c r="T314">
        <v>20</v>
      </c>
      <c r="U314" s="5">
        <f>MAX(0,MIN(1,1-ABS(supply_chain_data[[#This Row],[Forecast Demand]]-supply_chain_data[[#This Row],[Units Sold]])/supply_chain_data[[#This Row],[Forecast Demand]]))</f>
        <v>0.5</v>
      </c>
      <c r="V314" s="4">
        <f>supply_chain_data[[#This Row],[Closing Stock]]/supply_chain_data[[#This Row],[Forecast Demand]]</f>
        <v>7.3</v>
      </c>
      <c r="W314">
        <v>110084</v>
      </c>
    </row>
    <row r="315" spans="1:23" hidden="1" x14ac:dyDescent="0.35">
      <c r="A315" t="s">
        <v>34</v>
      </c>
      <c r="B315" t="s">
        <v>35</v>
      </c>
      <c r="C315" t="s">
        <v>20</v>
      </c>
      <c r="D315" t="s">
        <v>39</v>
      </c>
      <c r="E315" t="s">
        <v>40</v>
      </c>
      <c r="F315" t="s">
        <v>23</v>
      </c>
      <c r="G315" s="3">
        <v>45365</v>
      </c>
      <c r="H315">
        <v>62</v>
      </c>
      <c r="I315">
        <v>8</v>
      </c>
      <c r="J315" t="str">
        <f>IF(supply_chain_data[[#This Row],[Units Sold]]&gt;supply_chain_data[[#This Row],[Opening Stock]],"Yes","No")</f>
        <v>No</v>
      </c>
      <c r="K315">
        <v>74</v>
      </c>
      <c r="L315">
        <f>supply_chain_data[[#This Row],[Opening Stock]]+supply_chain_data[[#This Row],[Units Received]]-supply_chain_data[[#This Row],[Units Sold]]</f>
        <v>128</v>
      </c>
      <c r="M315">
        <v>128</v>
      </c>
      <c r="N315">
        <v>81</v>
      </c>
      <c r="O315" s="2">
        <v>346</v>
      </c>
      <c r="P315">
        <v>5</v>
      </c>
      <c r="Q315">
        <v>8</v>
      </c>
      <c r="R31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15" t="s">
        <v>24</v>
      </c>
      <c r="T315">
        <v>41</v>
      </c>
      <c r="U315" s="5">
        <f>MAX(0,MIN(1,1-ABS(supply_chain_data[[#This Row],[Forecast Demand]]-supply_chain_data[[#This Row],[Units Sold]])/supply_chain_data[[#This Row],[Forecast Demand]]))</f>
        <v>0.19512195121951215</v>
      </c>
      <c r="V315" s="4">
        <f>supply_chain_data[[#This Row],[Closing Stock]]/supply_chain_data[[#This Row],[Forecast Demand]]</f>
        <v>3.1219512195121952</v>
      </c>
      <c r="W315">
        <v>44288</v>
      </c>
    </row>
    <row r="316" spans="1:23" hidden="1" x14ac:dyDescent="0.35">
      <c r="A316" t="s">
        <v>34</v>
      </c>
      <c r="B316" t="s">
        <v>35</v>
      </c>
      <c r="C316" t="s">
        <v>20</v>
      </c>
      <c r="D316" t="s">
        <v>31</v>
      </c>
      <c r="E316" t="s">
        <v>47</v>
      </c>
      <c r="F316" t="s">
        <v>30</v>
      </c>
      <c r="G316" s="3">
        <v>45366</v>
      </c>
      <c r="H316">
        <v>158</v>
      </c>
      <c r="I316">
        <v>39</v>
      </c>
      <c r="J316" t="str">
        <f>IF(supply_chain_data[[#This Row],[Units Sold]]&gt;supply_chain_data[[#This Row],[Opening Stock]],"Yes","No")</f>
        <v>No</v>
      </c>
      <c r="K316">
        <v>66</v>
      </c>
      <c r="L316">
        <f>supply_chain_data[[#This Row],[Opening Stock]]+supply_chain_data[[#This Row],[Units Received]]-supply_chain_data[[#This Row],[Units Sold]]</f>
        <v>185</v>
      </c>
      <c r="M316">
        <v>185</v>
      </c>
      <c r="N316">
        <v>51</v>
      </c>
      <c r="O316" s="2">
        <v>1041</v>
      </c>
      <c r="P316">
        <v>13</v>
      </c>
      <c r="Q316">
        <v>3</v>
      </c>
      <c r="R31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16" t="s">
        <v>24</v>
      </c>
      <c r="T316">
        <v>51</v>
      </c>
      <c r="U316" s="5">
        <f>MAX(0,MIN(1,1-ABS(supply_chain_data[[#This Row],[Forecast Demand]]-supply_chain_data[[#This Row],[Units Sold]])/supply_chain_data[[#This Row],[Forecast Demand]]))</f>
        <v>0.76470588235294112</v>
      </c>
      <c r="V316" s="4">
        <f>supply_chain_data[[#This Row],[Closing Stock]]/supply_chain_data[[#This Row],[Forecast Demand]]</f>
        <v>3.6274509803921569</v>
      </c>
      <c r="W316">
        <v>192585</v>
      </c>
    </row>
    <row r="317" spans="1:23" x14ac:dyDescent="0.35">
      <c r="A317" t="s">
        <v>25</v>
      </c>
      <c r="B317" t="s">
        <v>26</v>
      </c>
      <c r="C317" t="s">
        <v>20</v>
      </c>
      <c r="D317" t="s">
        <v>31</v>
      </c>
      <c r="E317" t="s">
        <v>47</v>
      </c>
      <c r="F317" t="s">
        <v>33</v>
      </c>
      <c r="G317" s="3">
        <v>45367</v>
      </c>
      <c r="H317">
        <v>239</v>
      </c>
      <c r="I317">
        <v>49</v>
      </c>
      <c r="J317" t="str">
        <f>IF(supply_chain_data[[#This Row],[Units Sold]]&gt;supply_chain_data[[#This Row],[Opening Stock]],"Yes","No")</f>
        <v>No</v>
      </c>
      <c r="K317">
        <v>22</v>
      </c>
      <c r="L317">
        <f>supply_chain_data[[#This Row],[Opening Stock]]+supply_chain_data[[#This Row],[Units Received]]-supply_chain_data[[#This Row],[Units Sold]]</f>
        <v>212</v>
      </c>
      <c r="M317">
        <v>212</v>
      </c>
      <c r="N317">
        <v>61</v>
      </c>
      <c r="O317" s="2">
        <v>451</v>
      </c>
      <c r="P317">
        <v>15</v>
      </c>
      <c r="Q317">
        <v>6</v>
      </c>
      <c r="R31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17" t="s">
        <v>24</v>
      </c>
      <c r="T317">
        <v>38</v>
      </c>
      <c r="U317" s="5">
        <f>MAX(0,MIN(1,1-ABS(supply_chain_data[[#This Row],[Forecast Demand]]-supply_chain_data[[#This Row],[Units Sold]])/supply_chain_data[[#This Row],[Forecast Demand]]))</f>
        <v>0.71052631578947367</v>
      </c>
      <c r="V317" s="4">
        <f>supply_chain_data[[#This Row],[Closing Stock]]/supply_chain_data[[#This Row],[Forecast Demand]]</f>
        <v>5.5789473684210522</v>
      </c>
      <c r="W317">
        <v>95612</v>
      </c>
    </row>
    <row r="318" spans="1:23" hidden="1" x14ac:dyDescent="0.35">
      <c r="A318" t="s">
        <v>18</v>
      </c>
      <c r="B318" t="s">
        <v>19</v>
      </c>
      <c r="C318" t="s">
        <v>20</v>
      </c>
      <c r="D318" t="s">
        <v>21</v>
      </c>
      <c r="E318" t="s">
        <v>22</v>
      </c>
      <c r="F318" t="s">
        <v>33</v>
      </c>
      <c r="G318" s="3">
        <v>45368</v>
      </c>
      <c r="H318">
        <v>61</v>
      </c>
      <c r="I318">
        <v>50</v>
      </c>
      <c r="J318" t="str">
        <f>IF(supply_chain_data[[#This Row],[Units Sold]]&gt;supply_chain_data[[#This Row],[Opening Stock]],"Yes","No")</f>
        <v>No</v>
      </c>
      <c r="K318">
        <v>58</v>
      </c>
      <c r="L318">
        <f>supply_chain_data[[#This Row],[Opening Stock]]+supply_chain_data[[#This Row],[Units Received]]-supply_chain_data[[#This Row],[Units Sold]]</f>
        <v>69</v>
      </c>
      <c r="M318">
        <v>69</v>
      </c>
      <c r="N318">
        <v>98</v>
      </c>
      <c r="O318" s="2">
        <v>1313</v>
      </c>
      <c r="P318">
        <v>6</v>
      </c>
      <c r="Q318">
        <v>0</v>
      </c>
      <c r="R31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318" t="s">
        <v>36</v>
      </c>
      <c r="T318">
        <v>64</v>
      </c>
      <c r="U318" s="5">
        <f>MAX(0,MIN(1,1-ABS(supply_chain_data[[#This Row],[Forecast Demand]]-supply_chain_data[[#This Row],[Units Sold]])/supply_chain_data[[#This Row],[Forecast Demand]]))</f>
        <v>0.78125</v>
      </c>
      <c r="V318" s="4">
        <f>supply_chain_data[[#This Row],[Closing Stock]]/supply_chain_data[[#This Row],[Forecast Demand]]</f>
        <v>1.078125</v>
      </c>
      <c r="W318">
        <v>90597</v>
      </c>
    </row>
    <row r="319" spans="1:23" x14ac:dyDescent="0.35">
      <c r="A319" t="s">
        <v>25</v>
      </c>
      <c r="B319" t="s">
        <v>26</v>
      </c>
      <c r="C319" t="s">
        <v>20</v>
      </c>
      <c r="D319" t="s">
        <v>21</v>
      </c>
      <c r="E319" t="s">
        <v>27</v>
      </c>
      <c r="F319" t="s">
        <v>23</v>
      </c>
      <c r="G319" s="3">
        <v>45369</v>
      </c>
      <c r="H319">
        <v>268</v>
      </c>
      <c r="I319">
        <v>40</v>
      </c>
      <c r="J319" t="str">
        <f>IF(supply_chain_data[[#This Row],[Units Sold]]&gt;supply_chain_data[[#This Row],[Opening Stock]],"Yes","No")</f>
        <v>No</v>
      </c>
      <c r="K319">
        <v>47</v>
      </c>
      <c r="L319">
        <f>supply_chain_data[[#This Row],[Opening Stock]]+supply_chain_data[[#This Row],[Units Received]]-supply_chain_data[[#This Row],[Units Sold]]</f>
        <v>275</v>
      </c>
      <c r="M319">
        <v>275</v>
      </c>
      <c r="N319">
        <v>86</v>
      </c>
      <c r="O319" s="2">
        <v>1263</v>
      </c>
      <c r="P319">
        <v>8</v>
      </c>
      <c r="Q319">
        <v>7</v>
      </c>
      <c r="R31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19" t="s">
        <v>24</v>
      </c>
      <c r="T319">
        <v>22</v>
      </c>
      <c r="U319" s="5">
        <f>MAX(0,MIN(1,1-ABS(supply_chain_data[[#This Row],[Forecast Demand]]-supply_chain_data[[#This Row],[Units Sold]])/supply_chain_data[[#This Row],[Forecast Demand]]))</f>
        <v>0.18181818181818177</v>
      </c>
      <c r="V319" s="4">
        <f>supply_chain_data[[#This Row],[Closing Stock]]/supply_chain_data[[#This Row],[Forecast Demand]]</f>
        <v>12.5</v>
      </c>
      <c r="W319">
        <v>347325</v>
      </c>
    </row>
    <row r="320" spans="1:23" hidden="1" x14ac:dyDescent="0.35">
      <c r="A320" t="s">
        <v>34</v>
      </c>
      <c r="B320" t="s">
        <v>35</v>
      </c>
      <c r="C320" t="s">
        <v>20</v>
      </c>
      <c r="D320" t="s">
        <v>21</v>
      </c>
      <c r="E320" t="s">
        <v>22</v>
      </c>
      <c r="F320" t="s">
        <v>30</v>
      </c>
      <c r="G320" s="3">
        <v>45370</v>
      </c>
      <c r="H320">
        <v>109</v>
      </c>
      <c r="I320">
        <v>51</v>
      </c>
      <c r="J320" t="str">
        <f>IF(supply_chain_data[[#This Row],[Units Sold]]&gt;supply_chain_data[[#This Row],[Opening Stock]],"Yes","No")</f>
        <v>No</v>
      </c>
      <c r="K320">
        <v>74</v>
      </c>
      <c r="L320">
        <f>supply_chain_data[[#This Row],[Opening Stock]]+supply_chain_data[[#This Row],[Units Received]]-supply_chain_data[[#This Row],[Units Sold]]</f>
        <v>132</v>
      </c>
      <c r="M320">
        <v>132</v>
      </c>
      <c r="N320">
        <v>87</v>
      </c>
      <c r="O320" s="2">
        <v>77</v>
      </c>
      <c r="P320">
        <v>13</v>
      </c>
      <c r="Q320">
        <v>1</v>
      </c>
      <c r="R32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20" t="s">
        <v>24</v>
      </c>
      <c r="T320">
        <v>45</v>
      </c>
      <c r="U320" s="5">
        <f>MAX(0,MIN(1,1-ABS(supply_chain_data[[#This Row],[Forecast Demand]]-supply_chain_data[[#This Row],[Units Sold]])/supply_chain_data[[#This Row],[Forecast Demand]]))</f>
        <v>0.8666666666666667</v>
      </c>
      <c r="V320" s="4">
        <f>supply_chain_data[[#This Row],[Closing Stock]]/supply_chain_data[[#This Row],[Forecast Demand]]</f>
        <v>2.9333333333333331</v>
      </c>
      <c r="W320">
        <v>10164</v>
      </c>
    </row>
    <row r="321" spans="1:23" x14ac:dyDescent="0.35">
      <c r="A321" t="s">
        <v>34</v>
      </c>
      <c r="B321" t="s">
        <v>35</v>
      </c>
      <c r="C321" t="s">
        <v>20</v>
      </c>
      <c r="D321" t="s">
        <v>37</v>
      </c>
      <c r="E321" t="s">
        <v>38</v>
      </c>
      <c r="F321" t="s">
        <v>30</v>
      </c>
      <c r="G321" s="3">
        <v>45371</v>
      </c>
      <c r="H321">
        <v>296</v>
      </c>
      <c r="I321">
        <v>15</v>
      </c>
      <c r="J321" t="str">
        <f>IF(supply_chain_data[[#This Row],[Units Sold]]&gt;supply_chain_data[[#This Row],[Opening Stock]],"Yes","No")</f>
        <v>No</v>
      </c>
      <c r="K321">
        <v>60</v>
      </c>
      <c r="L321">
        <f>supply_chain_data[[#This Row],[Opening Stock]]+supply_chain_data[[#This Row],[Units Received]]-supply_chain_data[[#This Row],[Units Sold]]</f>
        <v>341</v>
      </c>
      <c r="M321">
        <v>341</v>
      </c>
      <c r="N321">
        <v>56</v>
      </c>
      <c r="O321" s="2">
        <v>371</v>
      </c>
      <c r="P321">
        <v>14</v>
      </c>
      <c r="Q321">
        <v>3</v>
      </c>
      <c r="R32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21" t="s">
        <v>24</v>
      </c>
      <c r="T321">
        <v>64</v>
      </c>
      <c r="U321" s="5">
        <f>MAX(0,MIN(1,1-ABS(supply_chain_data[[#This Row],[Forecast Demand]]-supply_chain_data[[#This Row],[Units Sold]])/supply_chain_data[[#This Row],[Forecast Demand]]))</f>
        <v>0.234375</v>
      </c>
      <c r="V321" s="4">
        <f>supply_chain_data[[#This Row],[Closing Stock]]/supply_chain_data[[#This Row],[Forecast Demand]]</f>
        <v>5.328125</v>
      </c>
      <c r="W321">
        <v>126511</v>
      </c>
    </row>
    <row r="322" spans="1:23" x14ac:dyDescent="0.35">
      <c r="A322" t="s">
        <v>18</v>
      </c>
      <c r="B322" t="s">
        <v>19</v>
      </c>
      <c r="C322" t="s">
        <v>20</v>
      </c>
      <c r="D322" t="s">
        <v>31</v>
      </c>
      <c r="E322" t="s">
        <v>32</v>
      </c>
      <c r="F322" t="s">
        <v>23</v>
      </c>
      <c r="G322" s="3">
        <v>45372</v>
      </c>
      <c r="H322">
        <v>197</v>
      </c>
      <c r="I322">
        <v>36</v>
      </c>
      <c r="J322" t="str">
        <f>IF(supply_chain_data[[#This Row],[Units Sold]]&gt;supply_chain_data[[#This Row],[Opening Stock]],"Yes","No")</f>
        <v>No</v>
      </c>
      <c r="K322">
        <v>72</v>
      </c>
      <c r="L322">
        <f>supply_chain_data[[#This Row],[Opening Stock]]+supply_chain_data[[#This Row],[Units Received]]-supply_chain_data[[#This Row],[Units Sold]]</f>
        <v>233</v>
      </c>
      <c r="M322">
        <v>233</v>
      </c>
      <c r="N322">
        <v>55</v>
      </c>
      <c r="O322" s="2">
        <v>234</v>
      </c>
      <c r="P322">
        <v>6</v>
      </c>
      <c r="Q322">
        <v>4</v>
      </c>
      <c r="R32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22" t="s">
        <v>24</v>
      </c>
      <c r="T322">
        <v>10</v>
      </c>
      <c r="U322" s="5">
        <f>MAX(0,MIN(1,1-ABS(supply_chain_data[[#This Row],[Forecast Demand]]-supply_chain_data[[#This Row],[Units Sold]])/supply_chain_data[[#This Row],[Forecast Demand]]))</f>
        <v>0</v>
      </c>
      <c r="V322" s="4">
        <f>supply_chain_data[[#This Row],[Closing Stock]]/supply_chain_data[[#This Row],[Forecast Demand]]</f>
        <v>23.3</v>
      </c>
      <c r="W322">
        <v>54522</v>
      </c>
    </row>
    <row r="323" spans="1:23" hidden="1" x14ac:dyDescent="0.35">
      <c r="A323" t="s">
        <v>25</v>
      </c>
      <c r="B323" t="s">
        <v>26</v>
      </c>
      <c r="C323" t="s">
        <v>20</v>
      </c>
      <c r="D323" t="s">
        <v>39</v>
      </c>
      <c r="E323" t="s">
        <v>45</v>
      </c>
      <c r="F323" t="s">
        <v>23</v>
      </c>
      <c r="G323" s="3">
        <v>45373</v>
      </c>
      <c r="H323">
        <v>130</v>
      </c>
      <c r="I323">
        <v>30</v>
      </c>
      <c r="J323" t="str">
        <f>IF(supply_chain_data[[#This Row],[Units Sold]]&gt;supply_chain_data[[#This Row],[Opening Stock]],"Yes","No")</f>
        <v>No</v>
      </c>
      <c r="K323">
        <v>21</v>
      </c>
      <c r="L323">
        <f>supply_chain_data[[#This Row],[Opening Stock]]+supply_chain_data[[#This Row],[Units Received]]-supply_chain_data[[#This Row],[Units Sold]]</f>
        <v>121</v>
      </c>
      <c r="M323">
        <v>121</v>
      </c>
      <c r="N323">
        <v>62</v>
      </c>
      <c r="O323" s="2">
        <v>631</v>
      </c>
      <c r="P323">
        <v>12</v>
      </c>
      <c r="Q323">
        <v>5</v>
      </c>
      <c r="R32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23" t="s">
        <v>24</v>
      </c>
      <c r="T323">
        <v>54</v>
      </c>
      <c r="U323" s="5">
        <f>MAX(0,MIN(1,1-ABS(supply_chain_data[[#This Row],[Forecast Demand]]-supply_chain_data[[#This Row],[Units Sold]])/supply_chain_data[[#This Row],[Forecast Demand]]))</f>
        <v>0.55555555555555558</v>
      </c>
      <c r="V323" s="4">
        <f>supply_chain_data[[#This Row],[Closing Stock]]/supply_chain_data[[#This Row],[Forecast Demand]]</f>
        <v>2.2407407407407409</v>
      </c>
      <c r="W323">
        <v>76351</v>
      </c>
    </row>
    <row r="324" spans="1:23" x14ac:dyDescent="0.35">
      <c r="A324" t="s">
        <v>41</v>
      </c>
      <c r="B324" t="s">
        <v>42</v>
      </c>
      <c r="C324" t="s">
        <v>20</v>
      </c>
      <c r="D324" t="s">
        <v>43</v>
      </c>
      <c r="E324" t="s">
        <v>44</v>
      </c>
      <c r="F324" t="s">
        <v>23</v>
      </c>
      <c r="G324" s="3">
        <v>45374</v>
      </c>
      <c r="H324">
        <v>105</v>
      </c>
      <c r="I324">
        <v>35</v>
      </c>
      <c r="J324" t="str">
        <f>IF(supply_chain_data[[#This Row],[Units Sold]]&gt;supply_chain_data[[#This Row],[Opening Stock]],"Yes","No")</f>
        <v>No</v>
      </c>
      <c r="K324">
        <v>39</v>
      </c>
      <c r="L324">
        <f>supply_chain_data[[#This Row],[Opening Stock]]+supply_chain_data[[#This Row],[Units Received]]-supply_chain_data[[#This Row],[Units Sold]]</f>
        <v>109</v>
      </c>
      <c r="M324">
        <v>109</v>
      </c>
      <c r="N324">
        <v>55</v>
      </c>
      <c r="O324" s="2">
        <v>1398</v>
      </c>
      <c r="P324">
        <v>13</v>
      </c>
      <c r="Q324">
        <v>10</v>
      </c>
      <c r="R32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24" t="s">
        <v>24</v>
      </c>
      <c r="T324">
        <v>26</v>
      </c>
      <c r="U324" s="5">
        <f>MAX(0,MIN(1,1-ABS(supply_chain_data[[#This Row],[Forecast Demand]]-supply_chain_data[[#This Row],[Units Sold]])/supply_chain_data[[#This Row],[Forecast Demand]]))</f>
        <v>0.65384615384615385</v>
      </c>
      <c r="V324" s="4">
        <f>supply_chain_data[[#This Row],[Closing Stock]]/supply_chain_data[[#This Row],[Forecast Demand]]</f>
        <v>4.1923076923076925</v>
      </c>
      <c r="W324">
        <v>152382</v>
      </c>
    </row>
    <row r="325" spans="1:23" x14ac:dyDescent="0.35">
      <c r="A325" t="s">
        <v>41</v>
      </c>
      <c r="B325" t="s">
        <v>42</v>
      </c>
      <c r="C325" t="s">
        <v>20</v>
      </c>
      <c r="D325" t="s">
        <v>31</v>
      </c>
      <c r="E325" t="s">
        <v>32</v>
      </c>
      <c r="F325" t="s">
        <v>30</v>
      </c>
      <c r="G325" s="3">
        <v>45375</v>
      </c>
      <c r="H325">
        <v>214</v>
      </c>
      <c r="I325">
        <v>56</v>
      </c>
      <c r="J325" t="str">
        <f>IF(supply_chain_data[[#This Row],[Units Sold]]&gt;supply_chain_data[[#This Row],[Opening Stock]],"Yes","No")</f>
        <v>No</v>
      </c>
      <c r="K325">
        <v>52</v>
      </c>
      <c r="L325">
        <f>supply_chain_data[[#This Row],[Opening Stock]]+supply_chain_data[[#This Row],[Units Received]]-supply_chain_data[[#This Row],[Units Sold]]</f>
        <v>210</v>
      </c>
      <c r="M325">
        <v>210</v>
      </c>
      <c r="N325">
        <v>57</v>
      </c>
      <c r="O325" s="2">
        <v>311</v>
      </c>
      <c r="P325">
        <v>2</v>
      </c>
      <c r="Q325">
        <v>5</v>
      </c>
      <c r="R32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25" t="s">
        <v>24</v>
      </c>
      <c r="T325">
        <v>16</v>
      </c>
      <c r="U325" s="5">
        <f>MAX(0,MIN(1,1-ABS(supply_chain_data[[#This Row],[Forecast Demand]]-supply_chain_data[[#This Row],[Units Sold]])/supply_chain_data[[#This Row],[Forecast Demand]]))</f>
        <v>0</v>
      </c>
      <c r="V325" s="4">
        <f>supply_chain_data[[#This Row],[Closing Stock]]/supply_chain_data[[#This Row],[Forecast Demand]]</f>
        <v>13.125</v>
      </c>
      <c r="W325">
        <v>65310</v>
      </c>
    </row>
    <row r="326" spans="1:23" hidden="1" x14ac:dyDescent="0.35">
      <c r="A326" t="s">
        <v>41</v>
      </c>
      <c r="B326" t="s">
        <v>42</v>
      </c>
      <c r="C326" t="s">
        <v>20</v>
      </c>
      <c r="D326" t="s">
        <v>37</v>
      </c>
      <c r="E326" t="s">
        <v>38</v>
      </c>
      <c r="F326" t="s">
        <v>30</v>
      </c>
      <c r="G326" s="3">
        <v>45376</v>
      </c>
      <c r="H326">
        <v>130</v>
      </c>
      <c r="I326">
        <v>14</v>
      </c>
      <c r="J326" t="str">
        <f>IF(supply_chain_data[[#This Row],[Units Sold]]&gt;supply_chain_data[[#This Row],[Opening Stock]],"Yes","No")</f>
        <v>No</v>
      </c>
      <c r="K326">
        <v>54</v>
      </c>
      <c r="L326">
        <f>supply_chain_data[[#This Row],[Opening Stock]]+supply_chain_data[[#This Row],[Units Received]]-supply_chain_data[[#This Row],[Units Sold]]</f>
        <v>170</v>
      </c>
      <c r="M326">
        <v>170</v>
      </c>
      <c r="N326">
        <v>68</v>
      </c>
      <c r="O326" s="2">
        <v>177</v>
      </c>
      <c r="P326">
        <v>9</v>
      </c>
      <c r="Q326">
        <v>2</v>
      </c>
      <c r="R32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26" t="s">
        <v>24</v>
      </c>
      <c r="T326">
        <v>52</v>
      </c>
      <c r="U326" s="5">
        <f>MAX(0,MIN(1,1-ABS(supply_chain_data[[#This Row],[Forecast Demand]]-supply_chain_data[[#This Row],[Units Sold]])/supply_chain_data[[#This Row],[Forecast Demand]]))</f>
        <v>0.26923076923076927</v>
      </c>
      <c r="V326" s="4">
        <f>supply_chain_data[[#This Row],[Closing Stock]]/supply_chain_data[[#This Row],[Forecast Demand]]</f>
        <v>3.2692307692307692</v>
      </c>
      <c r="W326">
        <v>30090</v>
      </c>
    </row>
    <row r="327" spans="1:23" hidden="1" x14ac:dyDescent="0.35">
      <c r="A327" t="s">
        <v>25</v>
      </c>
      <c r="B327" t="s">
        <v>26</v>
      </c>
      <c r="C327" t="s">
        <v>20</v>
      </c>
      <c r="D327" t="s">
        <v>21</v>
      </c>
      <c r="E327" t="s">
        <v>22</v>
      </c>
      <c r="F327" t="s">
        <v>30</v>
      </c>
      <c r="G327" s="3">
        <v>45377</v>
      </c>
      <c r="H327">
        <v>60</v>
      </c>
      <c r="I327">
        <v>29</v>
      </c>
      <c r="J327" t="str">
        <f>IF(supply_chain_data[[#This Row],[Units Sold]]&gt;supply_chain_data[[#This Row],[Opening Stock]],"Yes","No")</f>
        <v>No</v>
      </c>
      <c r="K327">
        <v>62</v>
      </c>
      <c r="L327">
        <f>supply_chain_data[[#This Row],[Opening Stock]]+supply_chain_data[[#This Row],[Units Received]]-supply_chain_data[[#This Row],[Units Sold]]</f>
        <v>93</v>
      </c>
      <c r="M327">
        <v>93</v>
      </c>
      <c r="N327">
        <v>89</v>
      </c>
      <c r="O327" s="2">
        <v>998</v>
      </c>
      <c r="P327">
        <v>5</v>
      </c>
      <c r="Q327">
        <v>7</v>
      </c>
      <c r="R32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27" t="s">
        <v>24</v>
      </c>
      <c r="T327">
        <v>26</v>
      </c>
      <c r="U327" s="5">
        <f>MAX(0,MIN(1,1-ABS(supply_chain_data[[#This Row],[Forecast Demand]]-supply_chain_data[[#This Row],[Units Sold]])/supply_chain_data[[#This Row],[Forecast Demand]]))</f>
        <v>0.88461538461538458</v>
      </c>
      <c r="V327" s="4">
        <f>supply_chain_data[[#This Row],[Closing Stock]]/supply_chain_data[[#This Row],[Forecast Demand]]</f>
        <v>3.5769230769230771</v>
      </c>
      <c r="W327">
        <v>92814</v>
      </c>
    </row>
    <row r="328" spans="1:23" hidden="1" x14ac:dyDescent="0.35">
      <c r="A328" t="s">
        <v>28</v>
      </c>
      <c r="B328" t="s">
        <v>29</v>
      </c>
      <c r="C328" t="s">
        <v>20</v>
      </c>
      <c r="D328" t="s">
        <v>39</v>
      </c>
      <c r="E328" t="s">
        <v>40</v>
      </c>
      <c r="F328" t="s">
        <v>23</v>
      </c>
      <c r="G328" s="3">
        <v>45378</v>
      </c>
      <c r="H328">
        <v>80</v>
      </c>
      <c r="I328">
        <v>36</v>
      </c>
      <c r="J328" t="str">
        <f>IF(supply_chain_data[[#This Row],[Units Sold]]&gt;supply_chain_data[[#This Row],[Opening Stock]],"Yes","No")</f>
        <v>No</v>
      </c>
      <c r="K328">
        <v>71</v>
      </c>
      <c r="L328">
        <f>supply_chain_data[[#This Row],[Opening Stock]]+supply_chain_data[[#This Row],[Units Received]]-supply_chain_data[[#This Row],[Units Sold]]</f>
        <v>115</v>
      </c>
      <c r="M328">
        <v>115</v>
      </c>
      <c r="N328">
        <v>57</v>
      </c>
      <c r="O328" s="2">
        <v>195</v>
      </c>
      <c r="P328">
        <v>15</v>
      </c>
      <c r="Q328">
        <v>9</v>
      </c>
      <c r="R32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28" t="s">
        <v>24</v>
      </c>
      <c r="T328">
        <v>56</v>
      </c>
      <c r="U328" s="5">
        <f>MAX(0,MIN(1,1-ABS(supply_chain_data[[#This Row],[Forecast Demand]]-supply_chain_data[[#This Row],[Units Sold]])/supply_chain_data[[#This Row],[Forecast Demand]]))</f>
        <v>0.64285714285714279</v>
      </c>
      <c r="V328" s="4">
        <f>supply_chain_data[[#This Row],[Closing Stock]]/supply_chain_data[[#This Row],[Forecast Demand]]</f>
        <v>2.0535714285714284</v>
      </c>
      <c r="W328">
        <v>22425</v>
      </c>
    </row>
    <row r="329" spans="1:23" x14ac:dyDescent="0.35">
      <c r="A329" t="s">
        <v>18</v>
      </c>
      <c r="B329" t="s">
        <v>19</v>
      </c>
      <c r="C329" t="s">
        <v>20</v>
      </c>
      <c r="D329" t="s">
        <v>21</v>
      </c>
      <c r="E329" t="s">
        <v>22</v>
      </c>
      <c r="F329" t="s">
        <v>23</v>
      </c>
      <c r="G329" s="3">
        <v>45379</v>
      </c>
      <c r="H329">
        <v>82</v>
      </c>
      <c r="I329">
        <v>18</v>
      </c>
      <c r="J329" t="str">
        <f>IF(supply_chain_data[[#This Row],[Units Sold]]&gt;supply_chain_data[[#This Row],[Opening Stock]],"Yes","No")</f>
        <v>No</v>
      </c>
      <c r="K329">
        <v>50</v>
      </c>
      <c r="L329">
        <f>supply_chain_data[[#This Row],[Opening Stock]]+supply_chain_data[[#This Row],[Units Received]]-supply_chain_data[[#This Row],[Units Sold]]</f>
        <v>114</v>
      </c>
      <c r="M329">
        <v>114</v>
      </c>
      <c r="N329">
        <v>76</v>
      </c>
      <c r="O329" s="2">
        <v>569</v>
      </c>
      <c r="P329">
        <v>3</v>
      </c>
      <c r="Q329">
        <v>0</v>
      </c>
      <c r="R32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29" t="s">
        <v>24</v>
      </c>
      <c r="T329">
        <v>19</v>
      </c>
      <c r="U329" s="5">
        <f>MAX(0,MIN(1,1-ABS(supply_chain_data[[#This Row],[Forecast Demand]]-supply_chain_data[[#This Row],[Units Sold]])/supply_chain_data[[#This Row],[Forecast Demand]]))</f>
        <v>0.94736842105263164</v>
      </c>
      <c r="V329" s="4">
        <f>supply_chain_data[[#This Row],[Closing Stock]]/supply_chain_data[[#This Row],[Forecast Demand]]</f>
        <v>6</v>
      </c>
      <c r="W329">
        <v>64866</v>
      </c>
    </row>
    <row r="330" spans="1:23" hidden="1" x14ac:dyDescent="0.35">
      <c r="A330" t="s">
        <v>25</v>
      </c>
      <c r="B330" t="s">
        <v>26</v>
      </c>
      <c r="C330" t="s">
        <v>20</v>
      </c>
      <c r="D330" t="s">
        <v>31</v>
      </c>
      <c r="E330" t="s">
        <v>47</v>
      </c>
      <c r="F330" t="s">
        <v>33</v>
      </c>
      <c r="G330" s="3">
        <v>45380</v>
      </c>
      <c r="H330">
        <v>101</v>
      </c>
      <c r="I330">
        <v>48</v>
      </c>
      <c r="J330" t="str">
        <f>IF(supply_chain_data[[#This Row],[Units Sold]]&gt;supply_chain_data[[#This Row],[Opening Stock]],"Yes","No")</f>
        <v>No</v>
      </c>
      <c r="K330">
        <v>67</v>
      </c>
      <c r="L330">
        <f>supply_chain_data[[#This Row],[Opening Stock]]+supply_chain_data[[#This Row],[Units Received]]-supply_chain_data[[#This Row],[Units Sold]]</f>
        <v>120</v>
      </c>
      <c r="M330">
        <v>120</v>
      </c>
      <c r="N330">
        <v>90</v>
      </c>
      <c r="O330" s="2">
        <v>478</v>
      </c>
      <c r="P330">
        <v>2</v>
      </c>
      <c r="Q330">
        <v>3</v>
      </c>
      <c r="R33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30" t="s">
        <v>24</v>
      </c>
      <c r="T330">
        <v>56</v>
      </c>
      <c r="U330" s="5">
        <f>MAX(0,MIN(1,1-ABS(supply_chain_data[[#This Row],[Forecast Demand]]-supply_chain_data[[#This Row],[Units Sold]])/supply_chain_data[[#This Row],[Forecast Demand]]))</f>
        <v>0.85714285714285721</v>
      </c>
      <c r="V330" s="4">
        <f>supply_chain_data[[#This Row],[Closing Stock]]/supply_chain_data[[#This Row],[Forecast Demand]]</f>
        <v>2.1428571428571428</v>
      </c>
      <c r="W330">
        <v>57360</v>
      </c>
    </row>
    <row r="331" spans="1:23" hidden="1" x14ac:dyDescent="0.35">
      <c r="A331" t="s">
        <v>25</v>
      </c>
      <c r="B331" t="s">
        <v>26</v>
      </c>
      <c r="C331" t="s">
        <v>20</v>
      </c>
      <c r="D331" t="s">
        <v>43</v>
      </c>
      <c r="E331" t="s">
        <v>48</v>
      </c>
      <c r="F331" t="s">
        <v>33</v>
      </c>
      <c r="G331" s="3">
        <v>45381</v>
      </c>
      <c r="H331">
        <v>67</v>
      </c>
      <c r="I331">
        <v>23</v>
      </c>
      <c r="J331" t="str">
        <f>IF(supply_chain_data[[#This Row],[Units Sold]]&gt;supply_chain_data[[#This Row],[Opening Stock]],"Yes","No")</f>
        <v>No</v>
      </c>
      <c r="K331">
        <v>3</v>
      </c>
      <c r="L331">
        <f>supply_chain_data[[#This Row],[Opening Stock]]+supply_chain_data[[#This Row],[Units Received]]-supply_chain_data[[#This Row],[Units Sold]]</f>
        <v>47</v>
      </c>
      <c r="M331">
        <v>47</v>
      </c>
      <c r="N331">
        <v>44</v>
      </c>
      <c r="O331" s="2">
        <v>858</v>
      </c>
      <c r="P331">
        <v>8</v>
      </c>
      <c r="Q331">
        <v>4</v>
      </c>
      <c r="R33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31" t="s">
        <v>24</v>
      </c>
      <c r="T331">
        <v>16</v>
      </c>
      <c r="U331" s="5">
        <f>MAX(0,MIN(1,1-ABS(supply_chain_data[[#This Row],[Forecast Demand]]-supply_chain_data[[#This Row],[Units Sold]])/supply_chain_data[[#This Row],[Forecast Demand]]))</f>
        <v>0.5625</v>
      </c>
      <c r="V331" s="4">
        <f>supply_chain_data[[#This Row],[Closing Stock]]/supply_chain_data[[#This Row],[Forecast Demand]]</f>
        <v>2.9375</v>
      </c>
      <c r="W331">
        <v>40326</v>
      </c>
    </row>
    <row r="332" spans="1:23" hidden="1" x14ac:dyDescent="0.35">
      <c r="A332" t="s">
        <v>25</v>
      </c>
      <c r="B332" t="s">
        <v>26</v>
      </c>
      <c r="C332" t="s">
        <v>20</v>
      </c>
      <c r="D332" t="s">
        <v>37</v>
      </c>
      <c r="E332" t="s">
        <v>38</v>
      </c>
      <c r="F332" t="s">
        <v>33</v>
      </c>
      <c r="G332" s="3">
        <v>45382</v>
      </c>
      <c r="H332">
        <v>55</v>
      </c>
      <c r="I332">
        <v>20</v>
      </c>
      <c r="J332" t="str">
        <f>IF(supply_chain_data[[#This Row],[Units Sold]]&gt;supply_chain_data[[#This Row],[Opening Stock]],"Yes","No")</f>
        <v>No</v>
      </c>
      <c r="K332">
        <v>21</v>
      </c>
      <c r="L332">
        <f>supply_chain_data[[#This Row],[Opening Stock]]+supply_chain_data[[#This Row],[Units Received]]-supply_chain_data[[#This Row],[Units Sold]]</f>
        <v>56</v>
      </c>
      <c r="M332">
        <v>56</v>
      </c>
      <c r="N332">
        <v>82</v>
      </c>
      <c r="O332" s="2">
        <v>227</v>
      </c>
      <c r="P332">
        <v>11</v>
      </c>
      <c r="Q332">
        <v>3</v>
      </c>
      <c r="R33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332" t="s">
        <v>36</v>
      </c>
      <c r="T332">
        <v>40</v>
      </c>
      <c r="U332" s="5">
        <f>MAX(0,MIN(1,1-ABS(supply_chain_data[[#This Row],[Forecast Demand]]-supply_chain_data[[#This Row],[Units Sold]])/supply_chain_data[[#This Row],[Forecast Demand]]))</f>
        <v>0.5</v>
      </c>
      <c r="V332" s="4">
        <f>supply_chain_data[[#This Row],[Closing Stock]]/supply_chain_data[[#This Row],[Forecast Demand]]</f>
        <v>1.4</v>
      </c>
      <c r="W332">
        <v>12712</v>
      </c>
    </row>
    <row r="333" spans="1:23" hidden="1" x14ac:dyDescent="0.35">
      <c r="A333" t="s">
        <v>18</v>
      </c>
      <c r="B333" t="s">
        <v>19</v>
      </c>
      <c r="C333" t="s">
        <v>20</v>
      </c>
      <c r="D333" t="s">
        <v>21</v>
      </c>
      <c r="E333" t="s">
        <v>27</v>
      </c>
      <c r="F333" t="s">
        <v>30</v>
      </c>
      <c r="G333" s="3">
        <v>45383</v>
      </c>
      <c r="H333">
        <v>69</v>
      </c>
      <c r="I333">
        <v>55</v>
      </c>
      <c r="J333" t="str">
        <f>IF(supply_chain_data[[#This Row],[Units Sold]]&gt;supply_chain_data[[#This Row],[Opening Stock]],"Yes","No")</f>
        <v>No</v>
      </c>
      <c r="K333">
        <v>8</v>
      </c>
      <c r="L333">
        <f>supply_chain_data[[#This Row],[Opening Stock]]+supply_chain_data[[#This Row],[Units Received]]-supply_chain_data[[#This Row],[Units Sold]]</f>
        <v>22</v>
      </c>
      <c r="M333">
        <v>22</v>
      </c>
      <c r="N333">
        <v>67</v>
      </c>
      <c r="O333" s="2">
        <v>747</v>
      </c>
      <c r="P333">
        <v>4</v>
      </c>
      <c r="Q333">
        <v>6</v>
      </c>
      <c r="R33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333" t="s">
        <v>36</v>
      </c>
      <c r="T333">
        <v>51</v>
      </c>
      <c r="U333" s="5">
        <f>MAX(0,MIN(1,1-ABS(supply_chain_data[[#This Row],[Forecast Demand]]-supply_chain_data[[#This Row],[Units Sold]])/supply_chain_data[[#This Row],[Forecast Demand]]))</f>
        <v>0.92156862745098045</v>
      </c>
      <c r="V333" s="4">
        <f>supply_chain_data[[#This Row],[Closing Stock]]/supply_chain_data[[#This Row],[Forecast Demand]]</f>
        <v>0.43137254901960786</v>
      </c>
      <c r="W333">
        <v>16434</v>
      </c>
    </row>
    <row r="334" spans="1:23" x14ac:dyDescent="0.35">
      <c r="A334" t="s">
        <v>25</v>
      </c>
      <c r="B334" t="s">
        <v>26</v>
      </c>
      <c r="C334" t="s">
        <v>20</v>
      </c>
      <c r="D334" t="s">
        <v>37</v>
      </c>
      <c r="E334" t="s">
        <v>46</v>
      </c>
      <c r="F334" t="s">
        <v>33</v>
      </c>
      <c r="G334" s="3">
        <v>45384</v>
      </c>
      <c r="H334">
        <v>274</v>
      </c>
      <c r="I334">
        <v>41</v>
      </c>
      <c r="J334" t="str">
        <f>IF(supply_chain_data[[#This Row],[Units Sold]]&gt;supply_chain_data[[#This Row],[Opening Stock]],"Yes","No")</f>
        <v>No</v>
      </c>
      <c r="K334">
        <v>32</v>
      </c>
      <c r="L334">
        <f>supply_chain_data[[#This Row],[Opening Stock]]+supply_chain_data[[#This Row],[Units Received]]-supply_chain_data[[#This Row],[Units Sold]]</f>
        <v>265</v>
      </c>
      <c r="M334">
        <v>265</v>
      </c>
      <c r="N334">
        <v>59</v>
      </c>
      <c r="O334" s="2">
        <v>170</v>
      </c>
      <c r="P334">
        <v>15</v>
      </c>
      <c r="Q334">
        <v>9</v>
      </c>
      <c r="R33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34" t="s">
        <v>24</v>
      </c>
      <c r="T334">
        <v>34</v>
      </c>
      <c r="U334" s="5">
        <f>MAX(0,MIN(1,1-ABS(supply_chain_data[[#This Row],[Forecast Demand]]-supply_chain_data[[#This Row],[Units Sold]])/supply_chain_data[[#This Row],[Forecast Demand]]))</f>
        <v>0.79411764705882359</v>
      </c>
      <c r="V334" s="4">
        <f>supply_chain_data[[#This Row],[Closing Stock]]/supply_chain_data[[#This Row],[Forecast Demand]]</f>
        <v>7.7941176470588234</v>
      </c>
      <c r="W334">
        <v>45050</v>
      </c>
    </row>
    <row r="335" spans="1:23" hidden="1" x14ac:dyDescent="0.35">
      <c r="A335" t="s">
        <v>18</v>
      </c>
      <c r="B335" t="s">
        <v>19</v>
      </c>
      <c r="C335" t="s">
        <v>20</v>
      </c>
      <c r="D335" t="s">
        <v>39</v>
      </c>
      <c r="E335" t="s">
        <v>45</v>
      </c>
      <c r="F335" t="s">
        <v>33</v>
      </c>
      <c r="G335" s="3">
        <v>45385</v>
      </c>
      <c r="H335">
        <v>233</v>
      </c>
      <c r="I335">
        <v>31</v>
      </c>
      <c r="J335" t="str">
        <f>IF(supply_chain_data[[#This Row],[Units Sold]]&gt;supply_chain_data[[#This Row],[Opening Stock]],"Yes","No")</f>
        <v>No</v>
      </c>
      <c r="K335">
        <v>21</v>
      </c>
      <c r="L335">
        <f>supply_chain_data[[#This Row],[Opening Stock]]+supply_chain_data[[#This Row],[Units Received]]-supply_chain_data[[#This Row],[Units Sold]]</f>
        <v>223</v>
      </c>
      <c r="M335">
        <v>223</v>
      </c>
      <c r="N335">
        <v>95</v>
      </c>
      <c r="O335" s="2">
        <v>238</v>
      </c>
      <c r="P335">
        <v>3</v>
      </c>
      <c r="Q335">
        <v>0</v>
      </c>
      <c r="R33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35" t="s">
        <v>24</v>
      </c>
      <c r="T335">
        <v>60</v>
      </c>
      <c r="U335" s="5">
        <f>MAX(0,MIN(1,1-ABS(supply_chain_data[[#This Row],[Forecast Demand]]-supply_chain_data[[#This Row],[Units Sold]])/supply_chain_data[[#This Row],[Forecast Demand]]))</f>
        <v>0.51666666666666661</v>
      </c>
      <c r="V335" s="4">
        <f>supply_chain_data[[#This Row],[Closing Stock]]/supply_chain_data[[#This Row],[Forecast Demand]]</f>
        <v>3.7166666666666668</v>
      </c>
      <c r="W335">
        <v>53074</v>
      </c>
    </row>
    <row r="336" spans="1:23" hidden="1" x14ac:dyDescent="0.35">
      <c r="A336" t="s">
        <v>18</v>
      </c>
      <c r="B336" t="s">
        <v>19</v>
      </c>
      <c r="C336" t="s">
        <v>20</v>
      </c>
      <c r="D336" t="s">
        <v>31</v>
      </c>
      <c r="E336" t="s">
        <v>32</v>
      </c>
      <c r="F336" t="s">
        <v>33</v>
      </c>
      <c r="G336" s="3">
        <v>45386</v>
      </c>
      <c r="H336">
        <v>88</v>
      </c>
      <c r="I336">
        <v>14</v>
      </c>
      <c r="J336" t="str">
        <f>IF(supply_chain_data[[#This Row],[Units Sold]]&gt;supply_chain_data[[#This Row],[Opening Stock]],"Yes","No")</f>
        <v>No</v>
      </c>
      <c r="K336">
        <v>19</v>
      </c>
      <c r="L336">
        <f>supply_chain_data[[#This Row],[Opening Stock]]+supply_chain_data[[#This Row],[Units Received]]-supply_chain_data[[#This Row],[Units Sold]]</f>
        <v>93</v>
      </c>
      <c r="M336">
        <v>93</v>
      </c>
      <c r="N336">
        <v>65</v>
      </c>
      <c r="O336" s="2">
        <v>1179</v>
      </c>
      <c r="P336">
        <v>10</v>
      </c>
      <c r="Q336">
        <v>4</v>
      </c>
      <c r="R33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336" t="s">
        <v>24</v>
      </c>
      <c r="T336">
        <v>59</v>
      </c>
      <c r="U336" s="5">
        <f>MAX(0,MIN(1,1-ABS(supply_chain_data[[#This Row],[Forecast Demand]]-supply_chain_data[[#This Row],[Units Sold]])/supply_chain_data[[#This Row],[Forecast Demand]]))</f>
        <v>0.23728813559322037</v>
      </c>
      <c r="V336" s="4">
        <f>supply_chain_data[[#This Row],[Closing Stock]]/supply_chain_data[[#This Row],[Forecast Demand]]</f>
        <v>1.576271186440678</v>
      </c>
      <c r="W336">
        <v>109647</v>
      </c>
    </row>
    <row r="337" spans="1:23" x14ac:dyDescent="0.35">
      <c r="A337" t="s">
        <v>34</v>
      </c>
      <c r="B337" t="s">
        <v>35</v>
      </c>
      <c r="C337" t="s">
        <v>20</v>
      </c>
      <c r="D337" t="s">
        <v>43</v>
      </c>
      <c r="E337" t="s">
        <v>44</v>
      </c>
      <c r="F337" t="s">
        <v>23</v>
      </c>
      <c r="G337" s="3">
        <v>45387</v>
      </c>
      <c r="H337">
        <v>287</v>
      </c>
      <c r="I337">
        <v>38</v>
      </c>
      <c r="J337" t="str">
        <f>IF(supply_chain_data[[#This Row],[Units Sold]]&gt;supply_chain_data[[#This Row],[Opening Stock]],"Yes","No")</f>
        <v>No</v>
      </c>
      <c r="K337">
        <v>64</v>
      </c>
      <c r="L337">
        <f>supply_chain_data[[#This Row],[Opening Stock]]+supply_chain_data[[#This Row],[Units Received]]-supply_chain_data[[#This Row],[Units Sold]]</f>
        <v>313</v>
      </c>
      <c r="M337">
        <v>313</v>
      </c>
      <c r="N337">
        <v>85</v>
      </c>
      <c r="O337" s="2">
        <v>110</v>
      </c>
      <c r="P337">
        <v>5</v>
      </c>
      <c r="Q337">
        <v>4</v>
      </c>
      <c r="R33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37" t="s">
        <v>24</v>
      </c>
      <c r="T337">
        <v>31</v>
      </c>
      <c r="U337" s="5">
        <f>MAX(0,MIN(1,1-ABS(supply_chain_data[[#This Row],[Forecast Demand]]-supply_chain_data[[#This Row],[Units Sold]])/supply_chain_data[[#This Row],[Forecast Demand]]))</f>
        <v>0.77419354838709675</v>
      </c>
      <c r="V337" s="4">
        <f>supply_chain_data[[#This Row],[Closing Stock]]/supply_chain_data[[#This Row],[Forecast Demand]]</f>
        <v>10.096774193548388</v>
      </c>
      <c r="W337">
        <v>34430</v>
      </c>
    </row>
    <row r="338" spans="1:23" hidden="1" x14ac:dyDescent="0.35">
      <c r="A338" t="s">
        <v>28</v>
      </c>
      <c r="B338" t="s">
        <v>29</v>
      </c>
      <c r="C338" t="s">
        <v>20</v>
      </c>
      <c r="D338" t="s">
        <v>43</v>
      </c>
      <c r="E338" t="s">
        <v>48</v>
      </c>
      <c r="F338" t="s">
        <v>23</v>
      </c>
      <c r="G338" s="3">
        <v>45388</v>
      </c>
      <c r="H338">
        <v>164</v>
      </c>
      <c r="I338">
        <v>21</v>
      </c>
      <c r="J338" t="str">
        <f>IF(supply_chain_data[[#This Row],[Units Sold]]&gt;supply_chain_data[[#This Row],[Opening Stock]],"Yes","No")</f>
        <v>No</v>
      </c>
      <c r="K338">
        <v>19</v>
      </c>
      <c r="L338">
        <f>supply_chain_data[[#This Row],[Opening Stock]]+supply_chain_data[[#This Row],[Units Received]]-supply_chain_data[[#This Row],[Units Sold]]</f>
        <v>162</v>
      </c>
      <c r="M338">
        <v>162</v>
      </c>
      <c r="N338">
        <v>80</v>
      </c>
      <c r="O338" s="2">
        <v>128</v>
      </c>
      <c r="P338">
        <v>4</v>
      </c>
      <c r="Q338">
        <v>0</v>
      </c>
      <c r="R33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38" t="s">
        <v>24</v>
      </c>
      <c r="T338">
        <v>54</v>
      </c>
      <c r="U338" s="5">
        <f>MAX(0,MIN(1,1-ABS(supply_chain_data[[#This Row],[Forecast Demand]]-supply_chain_data[[#This Row],[Units Sold]])/supply_chain_data[[#This Row],[Forecast Demand]]))</f>
        <v>0.38888888888888884</v>
      </c>
      <c r="V338" s="4">
        <f>supply_chain_data[[#This Row],[Closing Stock]]/supply_chain_data[[#This Row],[Forecast Demand]]</f>
        <v>3</v>
      </c>
      <c r="W338">
        <v>20736</v>
      </c>
    </row>
    <row r="339" spans="1:23" x14ac:dyDescent="0.35">
      <c r="A339" t="s">
        <v>25</v>
      </c>
      <c r="B339" t="s">
        <v>26</v>
      </c>
      <c r="C339" t="s">
        <v>20</v>
      </c>
      <c r="D339" t="s">
        <v>37</v>
      </c>
      <c r="E339" t="s">
        <v>46</v>
      </c>
      <c r="F339" t="s">
        <v>33</v>
      </c>
      <c r="G339" s="3">
        <v>45389</v>
      </c>
      <c r="H339">
        <v>227</v>
      </c>
      <c r="I339">
        <v>40</v>
      </c>
      <c r="J339" t="str">
        <f>IF(supply_chain_data[[#This Row],[Units Sold]]&gt;supply_chain_data[[#This Row],[Opening Stock]],"Yes","No")</f>
        <v>No</v>
      </c>
      <c r="K339">
        <v>32</v>
      </c>
      <c r="L339">
        <f>supply_chain_data[[#This Row],[Opening Stock]]+supply_chain_data[[#This Row],[Units Received]]-supply_chain_data[[#This Row],[Units Sold]]</f>
        <v>219</v>
      </c>
      <c r="M339">
        <v>219</v>
      </c>
      <c r="N339">
        <v>100</v>
      </c>
      <c r="O339" s="2">
        <v>114</v>
      </c>
      <c r="P339">
        <v>13</v>
      </c>
      <c r="Q339">
        <v>9</v>
      </c>
      <c r="R33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39" t="s">
        <v>24</v>
      </c>
      <c r="T339">
        <v>32</v>
      </c>
      <c r="U339" s="5">
        <f>MAX(0,MIN(1,1-ABS(supply_chain_data[[#This Row],[Forecast Demand]]-supply_chain_data[[#This Row],[Units Sold]])/supply_chain_data[[#This Row],[Forecast Demand]]))</f>
        <v>0.75</v>
      </c>
      <c r="V339" s="4">
        <f>supply_chain_data[[#This Row],[Closing Stock]]/supply_chain_data[[#This Row],[Forecast Demand]]</f>
        <v>6.84375</v>
      </c>
      <c r="W339">
        <v>24966</v>
      </c>
    </row>
    <row r="340" spans="1:23" x14ac:dyDescent="0.35">
      <c r="A340" t="s">
        <v>34</v>
      </c>
      <c r="B340" t="s">
        <v>35</v>
      </c>
      <c r="C340" t="s">
        <v>20</v>
      </c>
      <c r="D340" t="s">
        <v>31</v>
      </c>
      <c r="E340" t="s">
        <v>47</v>
      </c>
      <c r="F340" t="s">
        <v>33</v>
      </c>
      <c r="G340" s="3">
        <v>45390</v>
      </c>
      <c r="H340">
        <v>192</v>
      </c>
      <c r="I340">
        <v>31</v>
      </c>
      <c r="J340" t="str">
        <f>IF(supply_chain_data[[#This Row],[Units Sold]]&gt;supply_chain_data[[#This Row],[Opening Stock]],"Yes","No")</f>
        <v>No</v>
      </c>
      <c r="K340">
        <v>12</v>
      </c>
      <c r="L340">
        <f>supply_chain_data[[#This Row],[Opening Stock]]+supply_chain_data[[#This Row],[Units Received]]-supply_chain_data[[#This Row],[Units Sold]]</f>
        <v>173</v>
      </c>
      <c r="M340">
        <v>173</v>
      </c>
      <c r="N340">
        <v>68</v>
      </c>
      <c r="O340" s="2">
        <v>892</v>
      </c>
      <c r="P340">
        <v>9</v>
      </c>
      <c r="Q340">
        <v>9</v>
      </c>
      <c r="R34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40" t="s">
        <v>24</v>
      </c>
      <c r="T340">
        <v>15</v>
      </c>
      <c r="U340" s="5">
        <f>MAX(0,MIN(1,1-ABS(supply_chain_data[[#This Row],[Forecast Demand]]-supply_chain_data[[#This Row],[Units Sold]])/supply_chain_data[[#This Row],[Forecast Demand]]))</f>
        <v>0</v>
      </c>
      <c r="V340" s="4">
        <f>supply_chain_data[[#This Row],[Closing Stock]]/supply_chain_data[[#This Row],[Forecast Demand]]</f>
        <v>11.533333333333333</v>
      </c>
      <c r="W340">
        <v>154316</v>
      </c>
    </row>
    <row r="341" spans="1:23" x14ac:dyDescent="0.35">
      <c r="A341" t="s">
        <v>28</v>
      </c>
      <c r="B341" t="s">
        <v>29</v>
      </c>
      <c r="C341" t="s">
        <v>20</v>
      </c>
      <c r="D341" t="s">
        <v>21</v>
      </c>
      <c r="E341" t="s">
        <v>22</v>
      </c>
      <c r="F341" t="s">
        <v>23</v>
      </c>
      <c r="G341" s="3">
        <v>45391</v>
      </c>
      <c r="H341">
        <v>218</v>
      </c>
      <c r="I341">
        <v>33</v>
      </c>
      <c r="J341" t="str">
        <f>IF(supply_chain_data[[#This Row],[Units Sold]]&gt;supply_chain_data[[#This Row],[Opening Stock]],"Yes","No")</f>
        <v>No</v>
      </c>
      <c r="K341">
        <v>12</v>
      </c>
      <c r="L341">
        <f>supply_chain_data[[#This Row],[Opening Stock]]+supply_chain_data[[#This Row],[Units Received]]-supply_chain_data[[#This Row],[Units Sold]]</f>
        <v>197</v>
      </c>
      <c r="M341">
        <v>197</v>
      </c>
      <c r="N341">
        <v>69</v>
      </c>
      <c r="O341" s="2">
        <v>736</v>
      </c>
      <c r="P341">
        <v>2</v>
      </c>
      <c r="Q341">
        <v>7</v>
      </c>
      <c r="R34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41" t="s">
        <v>24</v>
      </c>
      <c r="T341">
        <v>11</v>
      </c>
      <c r="U341" s="5">
        <f>MAX(0,MIN(1,1-ABS(supply_chain_data[[#This Row],[Forecast Demand]]-supply_chain_data[[#This Row],[Units Sold]])/supply_chain_data[[#This Row],[Forecast Demand]]))</f>
        <v>0</v>
      </c>
      <c r="V341" s="4">
        <f>supply_chain_data[[#This Row],[Closing Stock]]/supply_chain_data[[#This Row],[Forecast Demand]]</f>
        <v>17.90909090909091</v>
      </c>
      <c r="W341">
        <v>144992</v>
      </c>
    </row>
    <row r="342" spans="1:23" hidden="1" x14ac:dyDescent="0.35">
      <c r="A342" t="s">
        <v>34</v>
      </c>
      <c r="B342" t="s">
        <v>35</v>
      </c>
      <c r="C342" t="s">
        <v>20</v>
      </c>
      <c r="D342" t="s">
        <v>37</v>
      </c>
      <c r="E342" t="s">
        <v>46</v>
      </c>
      <c r="F342" t="s">
        <v>33</v>
      </c>
      <c r="G342" s="3">
        <v>45392</v>
      </c>
      <c r="H342">
        <v>60</v>
      </c>
      <c r="I342">
        <v>50</v>
      </c>
      <c r="J342" t="str">
        <f>IF(supply_chain_data[[#This Row],[Units Sold]]&gt;supply_chain_data[[#This Row],[Opening Stock]],"Yes","No")</f>
        <v>No</v>
      </c>
      <c r="K342">
        <v>57</v>
      </c>
      <c r="L342">
        <f>supply_chain_data[[#This Row],[Opening Stock]]+supply_chain_data[[#This Row],[Units Received]]-supply_chain_data[[#This Row],[Units Sold]]</f>
        <v>67</v>
      </c>
      <c r="M342">
        <v>67</v>
      </c>
      <c r="N342">
        <v>71</v>
      </c>
      <c r="O342" s="2">
        <v>1226</v>
      </c>
      <c r="P342">
        <v>12</v>
      </c>
      <c r="Q342">
        <v>6</v>
      </c>
      <c r="R34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342" t="s">
        <v>36</v>
      </c>
      <c r="T342">
        <v>60</v>
      </c>
      <c r="U342" s="5">
        <f>MAX(0,MIN(1,1-ABS(supply_chain_data[[#This Row],[Forecast Demand]]-supply_chain_data[[#This Row],[Units Sold]])/supply_chain_data[[#This Row],[Forecast Demand]]))</f>
        <v>0.83333333333333337</v>
      </c>
      <c r="V342" s="4">
        <f>supply_chain_data[[#This Row],[Closing Stock]]/supply_chain_data[[#This Row],[Forecast Demand]]</f>
        <v>1.1166666666666667</v>
      </c>
      <c r="W342">
        <v>82142</v>
      </c>
    </row>
    <row r="343" spans="1:23" x14ac:dyDescent="0.35">
      <c r="A343" t="s">
        <v>41</v>
      </c>
      <c r="B343" t="s">
        <v>42</v>
      </c>
      <c r="C343" t="s">
        <v>20</v>
      </c>
      <c r="D343" t="s">
        <v>39</v>
      </c>
      <c r="E343" t="s">
        <v>45</v>
      </c>
      <c r="F343" t="s">
        <v>33</v>
      </c>
      <c r="G343" s="3">
        <v>45393</v>
      </c>
      <c r="H343">
        <v>148</v>
      </c>
      <c r="I343">
        <v>31</v>
      </c>
      <c r="J343" t="str">
        <f>IF(supply_chain_data[[#This Row],[Units Sold]]&gt;supply_chain_data[[#This Row],[Opening Stock]],"Yes","No")</f>
        <v>No</v>
      </c>
      <c r="K343">
        <v>66</v>
      </c>
      <c r="L343">
        <f>supply_chain_data[[#This Row],[Opening Stock]]+supply_chain_data[[#This Row],[Units Received]]-supply_chain_data[[#This Row],[Units Sold]]</f>
        <v>183</v>
      </c>
      <c r="M343">
        <v>183</v>
      </c>
      <c r="N343">
        <v>80</v>
      </c>
      <c r="O343" s="2">
        <v>1225</v>
      </c>
      <c r="P343">
        <v>7</v>
      </c>
      <c r="Q343">
        <v>8</v>
      </c>
      <c r="R34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43" t="s">
        <v>24</v>
      </c>
      <c r="T343">
        <v>29</v>
      </c>
      <c r="U343" s="5">
        <f>MAX(0,MIN(1,1-ABS(supply_chain_data[[#This Row],[Forecast Demand]]-supply_chain_data[[#This Row],[Units Sold]])/supply_chain_data[[#This Row],[Forecast Demand]]))</f>
        <v>0.93103448275862066</v>
      </c>
      <c r="V343" s="4">
        <f>supply_chain_data[[#This Row],[Closing Stock]]/supply_chain_data[[#This Row],[Forecast Demand]]</f>
        <v>6.3103448275862073</v>
      </c>
      <c r="W343">
        <v>224175</v>
      </c>
    </row>
    <row r="344" spans="1:23" hidden="1" x14ac:dyDescent="0.35">
      <c r="A344" t="s">
        <v>18</v>
      </c>
      <c r="B344" t="s">
        <v>19</v>
      </c>
      <c r="C344" t="s">
        <v>20</v>
      </c>
      <c r="D344" t="s">
        <v>31</v>
      </c>
      <c r="E344" t="s">
        <v>32</v>
      </c>
      <c r="F344" t="s">
        <v>33</v>
      </c>
      <c r="G344" s="3">
        <v>45394</v>
      </c>
      <c r="H344">
        <v>98</v>
      </c>
      <c r="I344">
        <v>7</v>
      </c>
      <c r="J344" t="str">
        <f>IF(supply_chain_data[[#This Row],[Units Sold]]&gt;supply_chain_data[[#This Row],[Opening Stock]],"Yes","No")</f>
        <v>No</v>
      </c>
      <c r="K344">
        <v>19</v>
      </c>
      <c r="L344">
        <f>supply_chain_data[[#This Row],[Opening Stock]]+supply_chain_data[[#This Row],[Units Received]]-supply_chain_data[[#This Row],[Units Sold]]</f>
        <v>110</v>
      </c>
      <c r="M344">
        <v>110</v>
      </c>
      <c r="N344">
        <v>58</v>
      </c>
      <c r="O344" s="2">
        <v>1232</v>
      </c>
      <c r="P344">
        <v>10</v>
      </c>
      <c r="Q344">
        <v>2</v>
      </c>
      <c r="R34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44" t="s">
        <v>24</v>
      </c>
      <c r="T344">
        <v>45</v>
      </c>
      <c r="U344" s="5">
        <f>MAX(0,MIN(1,1-ABS(supply_chain_data[[#This Row],[Forecast Demand]]-supply_chain_data[[#This Row],[Units Sold]])/supply_chain_data[[#This Row],[Forecast Demand]]))</f>
        <v>0.15555555555555556</v>
      </c>
      <c r="V344" s="4">
        <f>supply_chain_data[[#This Row],[Closing Stock]]/supply_chain_data[[#This Row],[Forecast Demand]]</f>
        <v>2.4444444444444446</v>
      </c>
      <c r="W344">
        <v>135520</v>
      </c>
    </row>
    <row r="345" spans="1:23" hidden="1" x14ac:dyDescent="0.35">
      <c r="A345" t="s">
        <v>25</v>
      </c>
      <c r="B345" t="s">
        <v>26</v>
      </c>
      <c r="C345" t="s">
        <v>20</v>
      </c>
      <c r="D345" t="s">
        <v>21</v>
      </c>
      <c r="E345" t="s">
        <v>27</v>
      </c>
      <c r="F345" t="s">
        <v>23</v>
      </c>
      <c r="G345" s="3">
        <v>45395</v>
      </c>
      <c r="H345">
        <v>82</v>
      </c>
      <c r="I345">
        <v>28</v>
      </c>
      <c r="J345" t="str">
        <f>IF(supply_chain_data[[#This Row],[Units Sold]]&gt;supply_chain_data[[#This Row],[Opening Stock]],"Yes","No")</f>
        <v>No</v>
      </c>
      <c r="K345">
        <v>4</v>
      </c>
      <c r="L345">
        <f>supply_chain_data[[#This Row],[Opening Stock]]+supply_chain_data[[#This Row],[Units Received]]-supply_chain_data[[#This Row],[Units Sold]]</f>
        <v>58</v>
      </c>
      <c r="M345">
        <v>58</v>
      </c>
      <c r="N345">
        <v>60</v>
      </c>
      <c r="O345" s="2">
        <v>1151</v>
      </c>
      <c r="P345">
        <v>6</v>
      </c>
      <c r="Q345">
        <v>6</v>
      </c>
      <c r="R34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345" t="s">
        <v>36</v>
      </c>
      <c r="T345">
        <v>70</v>
      </c>
      <c r="U345" s="5">
        <f>MAX(0,MIN(1,1-ABS(supply_chain_data[[#This Row],[Forecast Demand]]-supply_chain_data[[#This Row],[Units Sold]])/supply_chain_data[[#This Row],[Forecast Demand]]))</f>
        <v>0.4</v>
      </c>
      <c r="V345" s="4">
        <f>supply_chain_data[[#This Row],[Closing Stock]]/supply_chain_data[[#This Row],[Forecast Demand]]</f>
        <v>0.82857142857142863</v>
      </c>
      <c r="W345">
        <v>66758</v>
      </c>
    </row>
    <row r="346" spans="1:23" x14ac:dyDescent="0.35">
      <c r="A346" t="s">
        <v>18</v>
      </c>
      <c r="B346" t="s">
        <v>19</v>
      </c>
      <c r="C346" t="s">
        <v>20</v>
      </c>
      <c r="D346" t="s">
        <v>37</v>
      </c>
      <c r="E346" t="s">
        <v>38</v>
      </c>
      <c r="F346" t="s">
        <v>23</v>
      </c>
      <c r="G346" s="3">
        <v>45396</v>
      </c>
      <c r="H346">
        <v>219</v>
      </c>
      <c r="I346">
        <v>13</v>
      </c>
      <c r="J346" t="str">
        <f>IF(supply_chain_data[[#This Row],[Units Sold]]&gt;supply_chain_data[[#This Row],[Opening Stock]],"Yes","No")</f>
        <v>No</v>
      </c>
      <c r="K346">
        <v>61</v>
      </c>
      <c r="L346">
        <f>supply_chain_data[[#This Row],[Opening Stock]]+supply_chain_data[[#This Row],[Units Received]]-supply_chain_data[[#This Row],[Units Sold]]</f>
        <v>267</v>
      </c>
      <c r="M346">
        <v>267</v>
      </c>
      <c r="N346">
        <v>82</v>
      </c>
      <c r="O346" s="2">
        <v>629</v>
      </c>
      <c r="P346">
        <v>3</v>
      </c>
      <c r="Q346">
        <v>8</v>
      </c>
      <c r="R34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46" t="s">
        <v>24</v>
      </c>
      <c r="T346">
        <v>65</v>
      </c>
      <c r="U346" s="5">
        <f>MAX(0,MIN(1,1-ABS(supply_chain_data[[#This Row],[Forecast Demand]]-supply_chain_data[[#This Row],[Units Sold]])/supply_chain_data[[#This Row],[Forecast Demand]]))</f>
        <v>0.19999999999999996</v>
      </c>
      <c r="V346" s="4">
        <f>supply_chain_data[[#This Row],[Closing Stock]]/supply_chain_data[[#This Row],[Forecast Demand]]</f>
        <v>4.1076923076923073</v>
      </c>
      <c r="W346">
        <v>167943</v>
      </c>
    </row>
    <row r="347" spans="1:23" x14ac:dyDescent="0.35">
      <c r="A347" t="s">
        <v>41</v>
      </c>
      <c r="B347" t="s">
        <v>42</v>
      </c>
      <c r="C347" t="s">
        <v>20</v>
      </c>
      <c r="D347" t="s">
        <v>43</v>
      </c>
      <c r="E347" t="s">
        <v>48</v>
      </c>
      <c r="F347" t="s">
        <v>23</v>
      </c>
      <c r="G347" s="3">
        <v>45397</v>
      </c>
      <c r="H347">
        <v>247</v>
      </c>
      <c r="I347">
        <v>27</v>
      </c>
      <c r="J347" t="str">
        <f>IF(supply_chain_data[[#This Row],[Units Sold]]&gt;supply_chain_data[[#This Row],[Opening Stock]],"Yes","No")</f>
        <v>No</v>
      </c>
      <c r="K347">
        <v>24</v>
      </c>
      <c r="L347">
        <f>supply_chain_data[[#This Row],[Opening Stock]]+supply_chain_data[[#This Row],[Units Received]]-supply_chain_data[[#This Row],[Units Sold]]</f>
        <v>244</v>
      </c>
      <c r="M347">
        <v>244</v>
      </c>
      <c r="N347">
        <v>41</v>
      </c>
      <c r="O347" s="2">
        <v>901</v>
      </c>
      <c r="P347">
        <v>13</v>
      </c>
      <c r="Q347">
        <v>9</v>
      </c>
      <c r="R34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47" t="s">
        <v>24</v>
      </c>
      <c r="T347">
        <v>37</v>
      </c>
      <c r="U347" s="5">
        <f>MAX(0,MIN(1,1-ABS(supply_chain_data[[#This Row],[Forecast Demand]]-supply_chain_data[[#This Row],[Units Sold]])/supply_chain_data[[#This Row],[Forecast Demand]]))</f>
        <v>0.72972972972972971</v>
      </c>
      <c r="V347" s="4">
        <f>supply_chain_data[[#This Row],[Closing Stock]]/supply_chain_data[[#This Row],[Forecast Demand]]</f>
        <v>6.5945945945945947</v>
      </c>
      <c r="W347">
        <v>219844</v>
      </c>
    </row>
    <row r="348" spans="1:23" hidden="1" x14ac:dyDescent="0.35">
      <c r="A348" t="s">
        <v>18</v>
      </c>
      <c r="B348" t="s">
        <v>19</v>
      </c>
      <c r="C348" t="s">
        <v>20</v>
      </c>
      <c r="D348" t="s">
        <v>31</v>
      </c>
      <c r="E348" t="s">
        <v>32</v>
      </c>
      <c r="F348" t="s">
        <v>33</v>
      </c>
      <c r="G348" s="3">
        <v>45398</v>
      </c>
      <c r="H348">
        <v>59</v>
      </c>
      <c r="I348">
        <v>38</v>
      </c>
      <c r="J348" t="str">
        <f>IF(supply_chain_data[[#This Row],[Units Sold]]&gt;supply_chain_data[[#This Row],[Opening Stock]],"Yes","No")</f>
        <v>No</v>
      </c>
      <c r="K348">
        <v>62</v>
      </c>
      <c r="L348">
        <f>supply_chain_data[[#This Row],[Opening Stock]]+supply_chain_data[[#This Row],[Units Received]]-supply_chain_data[[#This Row],[Units Sold]]</f>
        <v>83</v>
      </c>
      <c r="M348">
        <v>83</v>
      </c>
      <c r="N348">
        <v>96</v>
      </c>
      <c r="O348" s="2">
        <v>807</v>
      </c>
      <c r="P348">
        <v>2</v>
      </c>
      <c r="Q348">
        <v>9</v>
      </c>
      <c r="R34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348" t="s">
        <v>36</v>
      </c>
      <c r="T348">
        <v>51</v>
      </c>
      <c r="U348" s="5">
        <f>MAX(0,MIN(1,1-ABS(supply_chain_data[[#This Row],[Forecast Demand]]-supply_chain_data[[#This Row],[Units Sold]])/supply_chain_data[[#This Row],[Forecast Demand]]))</f>
        <v>0.74509803921568629</v>
      </c>
      <c r="V348" s="4">
        <f>supply_chain_data[[#This Row],[Closing Stock]]/supply_chain_data[[#This Row],[Forecast Demand]]</f>
        <v>1.6274509803921569</v>
      </c>
      <c r="W348">
        <v>66981</v>
      </c>
    </row>
    <row r="349" spans="1:23" x14ac:dyDescent="0.35">
      <c r="A349" t="s">
        <v>18</v>
      </c>
      <c r="B349" t="s">
        <v>19</v>
      </c>
      <c r="C349" t="s">
        <v>20</v>
      </c>
      <c r="D349" t="s">
        <v>43</v>
      </c>
      <c r="E349" t="s">
        <v>48</v>
      </c>
      <c r="F349" t="s">
        <v>30</v>
      </c>
      <c r="G349" s="3">
        <v>45399</v>
      </c>
      <c r="H349">
        <v>219</v>
      </c>
      <c r="I349">
        <v>19</v>
      </c>
      <c r="J349" t="str">
        <f>IF(supply_chain_data[[#This Row],[Units Sold]]&gt;supply_chain_data[[#This Row],[Opening Stock]],"Yes","No")</f>
        <v>No</v>
      </c>
      <c r="K349">
        <v>1</v>
      </c>
      <c r="L349">
        <f>supply_chain_data[[#This Row],[Opening Stock]]+supply_chain_data[[#This Row],[Units Received]]-supply_chain_data[[#This Row],[Units Sold]]</f>
        <v>201</v>
      </c>
      <c r="M349">
        <v>201</v>
      </c>
      <c r="N349">
        <v>84</v>
      </c>
      <c r="O349" s="2">
        <v>1176</v>
      </c>
      <c r="P349">
        <v>5</v>
      </c>
      <c r="Q349">
        <v>2</v>
      </c>
      <c r="R34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49" t="s">
        <v>24</v>
      </c>
      <c r="T349">
        <v>36</v>
      </c>
      <c r="U349" s="5">
        <f>MAX(0,MIN(1,1-ABS(supply_chain_data[[#This Row],[Forecast Demand]]-supply_chain_data[[#This Row],[Units Sold]])/supply_chain_data[[#This Row],[Forecast Demand]]))</f>
        <v>0.52777777777777779</v>
      </c>
      <c r="V349" s="4">
        <f>supply_chain_data[[#This Row],[Closing Stock]]/supply_chain_data[[#This Row],[Forecast Demand]]</f>
        <v>5.583333333333333</v>
      </c>
      <c r="W349">
        <v>236376</v>
      </c>
    </row>
    <row r="350" spans="1:23" hidden="1" x14ac:dyDescent="0.35">
      <c r="A350" t="s">
        <v>34</v>
      </c>
      <c r="B350" t="s">
        <v>35</v>
      </c>
      <c r="C350" t="s">
        <v>20</v>
      </c>
      <c r="D350" t="s">
        <v>39</v>
      </c>
      <c r="E350" t="s">
        <v>40</v>
      </c>
      <c r="F350" t="s">
        <v>23</v>
      </c>
      <c r="G350" s="3">
        <v>45400</v>
      </c>
      <c r="H350">
        <v>110</v>
      </c>
      <c r="I350">
        <v>10</v>
      </c>
      <c r="J350" t="str">
        <f>IF(supply_chain_data[[#This Row],[Units Sold]]&gt;supply_chain_data[[#This Row],[Opening Stock]],"Yes","No")</f>
        <v>No</v>
      </c>
      <c r="K350">
        <v>14</v>
      </c>
      <c r="L350">
        <f>supply_chain_data[[#This Row],[Opening Stock]]+supply_chain_data[[#This Row],[Units Received]]-supply_chain_data[[#This Row],[Units Sold]]</f>
        <v>114</v>
      </c>
      <c r="M350">
        <v>114</v>
      </c>
      <c r="N350">
        <v>55</v>
      </c>
      <c r="O350" s="2">
        <v>507</v>
      </c>
      <c r="P350">
        <v>8</v>
      </c>
      <c r="Q350">
        <v>1</v>
      </c>
      <c r="R35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350" t="s">
        <v>24</v>
      </c>
      <c r="T350">
        <v>64</v>
      </c>
      <c r="U350" s="5">
        <f>MAX(0,MIN(1,1-ABS(supply_chain_data[[#This Row],[Forecast Demand]]-supply_chain_data[[#This Row],[Units Sold]])/supply_chain_data[[#This Row],[Forecast Demand]]))</f>
        <v>0.15625</v>
      </c>
      <c r="V350" s="4">
        <f>supply_chain_data[[#This Row],[Closing Stock]]/supply_chain_data[[#This Row],[Forecast Demand]]</f>
        <v>1.78125</v>
      </c>
      <c r="W350">
        <v>57798</v>
      </c>
    </row>
    <row r="351" spans="1:23" hidden="1" x14ac:dyDescent="0.35">
      <c r="A351" t="s">
        <v>28</v>
      </c>
      <c r="B351" t="s">
        <v>29</v>
      </c>
      <c r="C351" t="s">
        <v>20</v>
      </c>
      <c r="D351" t="s">
        <v>43</v>
      </c>
      <c r="E351" t="s">
        <v>48</v>
      </c>
      <c r="F351" t="s">
        <v>23</v>
      </c>
      <c r="G351" s="3">
        <v>45401</v>
      </c>
      <c r="H351">
        <v>76</v>
      </c>
      <c r="I351">
        <v>43</v>
      </c>
      <c r="J351" t="str">
        <f>IF(supply_chain_data[[#This Row],[Units Sold]]&gt;supply_chain_data[[#This Row],[Opening Stock]],"Yes","No")</f>
        <v>No</v>
      </c>
      <c r="K351">
        <v>50</v>
      </c>
      <c r="L351">
        <f>supply_chain_data[[#This Row],[Opening Stock]]+supply_chain_data[[#This Row],[Units Received]]-supply_chain_data[[#This Row],[Units Sold]]</f>
        <v>83</v>
      </c>
      <c r="M351">
        <v>83</v>
      </c>
      <c r="N351">
        <v>47</v>
      </c>
      <c r="O351" s="2">
        <v>1347</v>
      </c>
      <c r="P351">
        <v>4</v>
      </c>
      <c r="Q351">
        <v>1</v>
      </c>
      <c r="R35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351" t="s">
        <v>24</v>
      </c>
      <c r="T351">
        <v>66</v>
      </c>
      <c r="U351" s="5">
        <f>MAX(0,MIN(1,1-ABS(supply_chain_data[[#This Row],[Forecast Demand]]-supply_chain_data[[#This Row],[Units Sold]])/supply_chain_data[[#This Row],[Forecast Demand]]))</f>
        <v>0.65151515151515149</v>
      </c>
      <c r="V351" s="4">
        <f>supply_chain_data[[#This Row],[Closing Stock]]/supply_chain_data[[#This Row],[Forecast Demand]]</f>
        <v>1.2575757575757576</v>
      </c>
      <c r="W351">
        <v>111801</v>
      </c>
    </row>
    <row r="352" spans="1:23" x14ac:dyDescent="0.35">
      <c r="A352" t="s">
        <v>25</v>
      </c>
      <c r="B352" t="s">
        <v>26</v>
      </c>
      <c r="C352" t="s">
        <v>20</v>
      </c>
      <c r="D352" t="s">
        <v>43</v>
      </c>
      <c r="E352" t="s">
        <v>48</v>
      </c>
      <c r="F352" t="s">
        <v>23</v>
      </c>
      <c r="G352" s="3">
        <v>45402</v>
      </c>
      <c r="H352">
        <v>236</v>
      </c>
      <c r="I352">
        <v>51</v>
      </c>
      <c r="J352" t="str">
        <f>IF(supply_chain_data[[#This Row],[Units Sold]]&gt;supply_chain_data[[#This Row],[Opening Stock]],"Yes","No")</f>
        <v>No</v>
      </c>
      <c r="K352">
        <v>45</v>
      </c>
      <c r="L352">
        <f>supply_chain_data[[#This Row],[Opening Stock]]+supply_chain_data[[#This Row],[Units Received]]-supply_chain_data[[#This Row],[Units Sold]]</f>
        <v>230</v>
      </c>
      <c r="M352">
        <v>230</v>
      </c>
      <c r="N352">
        <v>55</v>
      </c>
      <c r="O352" s="2">
        <v>1307</v>
      </c>
      <c r="P352">
        <v>8</v>
      </c>
      <c r="Q352">
        <v>0</v>
      </c>
      <c r="R35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52" t="s">
        <v>24</v>
      </c>
      <c r="T352">
        <v>38</v>
      </c>
      <c r="U352" s="5">
        <f>MAX(0,MIN(1,1-ABS(supply_chain_data[[#This Row],[Forecast Demand]]-supply_chain_data[[#This Row],[Units Sold]])/supply_chain_data[[#This Row],[Forecast Demand]]))</f>
        <v>0.65789473684210531</v>
      </c>
      <c r="V352" s="4">
        <f>supply_chain_data[[#This Row],[Closing Stock]]/supply_chain_data[[#This Row],[Forecast Demand]]</f>
        <v>6.0526315789473681</v>
      </c>
      <c r="W352">
        <v>300610</v>
      </c>
    </row>
    <row r="353" spans="1:23" x14ac:dyDescent="0.35">
      <c r="A353" t="s">
        <v>28</v>
      </c>
      <c r="B353" t="s">
        <v>29</v>
      </c>
      <c r="C353" t="s">
        <v>20</v>
      </c>
      <c r="D353" t="s">
        <v>37</v>
      </c>
      <c r="E353" t="s">
        <v>38</v>
      </c>
      <c r="F353" t="s">
        <v>30</v>
      </c>
      <c r="G353" s="3">
        <v>45403</v>
      </c>
      <c r="H353">
        <v>164</v>
      </c>
      <c r="I353">
        <v>48</v>
      </c>
      <c r="J353" t="str">
        <f>IF(supply_chain_data[[#This Row],[Units Sold]]&gt;supply_chain_data[[#This Row],[Opening Stock]],"Yes","No")</f>
        <v>No</v>
      </c>
      <c r="K353">
        <v>71</v>
      </c>
      <c r="L353">
        <f>supply_chain_data[[#This Row],[Opening Stock]]+supply_chain_data[[#This Row],[Units Received]]-supply_chain_data[[#This Row],[Units Sold]]</f>
        <v>187</v>
      </c>
      <c r="M353">
        <v>187</v>
      </c>
      <c r="N353">
        <v>44</v>
      </c>
      <c r="O353" s="2">
        <v>1168</v>
      </c>
      <c r="P353">
        <v>13</v>
      </c>
      <c r="Q353">
        <v>3</v>
      </c>
      <c r="R35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53" t="s">
        <v>24</v>
      </c>
      <c r="T353">
        <v>44</v>
      </c>
      <c r="U353" s="5">
        <f>MAX(0,MIN(1,1-ABS(supply_chain_data[[#This Row],[Forecast Demand]]-supply_chain_data[[#This Row],[Units Sold]])/supply_chain_data[[#This Row],[Forecast Demand]]))</f>
        <v>0.90909090909090906</v>
      </c>
      <c r="V353" s="4">
        <f>supply_chain_data[[#This Row],[Closing Stock]]/supply_chain_data[[#This Row],[Forecast Demand]]</f>
        <v>4.25</v>
      </c>
      <c r="W353">
        <v>218416</v>
      </c>
    </row>
    <row r="354" spans="1:23" x14ac:dyDescent="0.35">
      <c r="A354" t="s">
        <v>25</v>
      </c>
      <c r="B354" t="s">
        <v>26</v>
      </c>
      <c r="C354" t="s">
        <v>20</v>
      </c>
      <c r="D354" t="s">
        <v>37</v>
      </c>
      <c r="E354" t="s">
        <v>46</v>
      </c>
      <c r="F354" t="s">
        <v>33</v>
      </c>
      <c r="G354" s="3">
        <v>45404</v>
      </c>
      <c r="H354">
        <v>184</v>
      </c>
      <c r="I354">
        <v>60</v>
      </c>
      <c r="J354" t="str">
        <f>IF(supply_chain_data[[#This Row],[Units Sold]]&gt;supply_chain_data[[#This Row],[Opening Stock]],"Yes","No")</f>
        <v>No</v>
      </c>
      <c r="K354">
        <v>15</v>
      </c>
      <c r="L354">
        <f>supply_chain_data[[#This Row],[Opening Stock]]+supply_chain_data[[#This Row],[Units Received]]-supply_chain_data[[#This Row],[Units Sold]]</f>
        <v>139</v>
      </c>
      <c r="M354">
        <v>139</v>
      </c>
      <c r="N354">
        <v>41</v>
      </c>
      <c r="O354" s="2">
        <v>792</v>
      </c>
      <c r="P354">
        <v>13</v>
      </c>
      <c r="Q354">
        <v>9</v>
      </c>
      <c r="R35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54" t="s">
        <v>24</v>
      </c>
      <c r="T354">
        <v>21</v>
      </c>
      <c r="U354" s="5">
        <f>MAX(0,MIN(1,1-ABS(supply_chain_data[[#This Row],[Forecast Demand]]-supply_chain_data[[#This Row],[Units Sold]])/supply_chain_data[[#This Row],[Forecast Demand]]))</f>
        <v>0</v>
      </c>
      <c r="V354" s="4">
        <f>supply_chain_data[[#This Row],[Closing Stock]]/supply_chain_data[[#This Row],[Forecast Demand]]</f>
        <v>6.6190476190476186</v>
      </c>
      <c r="W354">
        <v>110088</v>
      </c>
    </row>
    <row r="355" spans="1:23" x14ac:dyDescent="0.35">
      <c r="A355" t="s">
        <v>25</v>
      </c>
      <c r="B355" t="s">
        <v>26</v>
      </c>
      <c r="C355" t="s">
        <v>20</v>
      </c>
      <c r="D355" t="s">
        <v>37</v>
      </c>
      <c r="E355" t="s">
        <v>46</v>
      </c>
      <c r="F355" t="s">
        <v>33</v>
      </c>
      <c r="G355" s="3">
        <v>45405</v>
      </c>
      <c r="H355">
        <v>207</v>
      </c>
      <c r="I355">
        <v>43</v>
      </c>
      <c r="J355" t="str">
        <f>IF(supply_chain_data[[#This Row],[Units Sold]]&gt;supply_chain_data[[#This Row],[Opening Stock]],"Yes","No")</f>
        <v>No</v>
      </c>
      <c r="K355">
        <v>8</v>
      </c>
      <c r="L355">
        <f>supply_chain_data[[#This Row],[Opening Stock]]+supply_chain_data[[#This Row],[Units Received]]-supply_chain_data[[#This Row],[Units Sold]]</f>
        <v>172</v>
      </c>
      <c r="M355">
        <v>172</v>
      </c>
      <c r="N355">
        <v>77</v>
      </c>
      <c r="O355" s="2">
        <v>1289</v>
      </c>
      <c r="P355">
        <v>6</v>
      </c>
      <c r="Q355">
        <v>10</v>
      </c>
      <c r="R35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55" t="s">
        <v>24</v>
      </c>
      <c r="T355">
        <v>31</v>
      </c>
      <c r="U355" s="5">
        <f>MAX(0,MIN(1,1-ABS(supply_chain_data[[#This Row],[Forecast Demand]]-supply_chain_data[[#This Row],[Units Sold]])/supply_chain_data[[#This Row],[Forecast Demand]]))</f>
        <v>0.61290322580645162</v>
      </c>
      <c r="V355" s="4">
        <f>supply_chain_data[[#This Row],[Closing Stock]]/supply_chain_data[[#This Row],[Forecast Demand]]</f>
        <v>5.5483870967741939</v>
      </c>
      <c r="W355">
        <v>221708</v>
      </c>
    </row>
    <row r="356" spans="1:23" x14ac:dyDescent="0.35">
      <c r="A356" t="s">
        <v>28</v>
      </c>
      <c r="B356" t="s">
        <v>29</v>
      </c>
      <c r="C356" t="s">
        <v>20</v>
      </c>
      <c r="D356" t="s">
        <v>21</v>
      </c>
      <c r="E356" t="s">
        <v>22</v>
      </c>
      <c r="F356" t="s">
        <v>30</v>
      </c>
      <c r="G356" s="3">
        <v>45406</v>
      </c>
      <c r="H356">
        <v>181</v>
      </c>
      <c r="I356">
        <v>12</v>
      </c>
      <c r="J356" t="str">
        <f>IF(supply_chain_data[[#This Row],[Units Sold]]&gt;supply_chain_data[[#This Row],[Opening Stock]],"Yes","No")</f>
        <v>No</v>
      </c>
      <c r="K356">
        <v>60</v>
      </c>
      <c r="L356">
        <f>supply_chain_data[[#This Row],[Opening Stock]]+supply_chain_data[[#This Row],[Units Received]]-supply_chain_data[[#This Row],[Units Sold]]</f>
        <v>229</v>
      </c>
      <c r="M356">
        <v>229</v>
      </c>
      <c r="N356">
        <v>41</v>
      </c>
      <c r="O356" s="2">
        <v>840</v>
      </c>
      <c r="P356">
        <v>15</v>
      </c>
      <c r="Q356">
        <v>8</v>
      </c>
      <c r="R35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56" t="s">
        <v>24</v>
      </c>
      <c r="T356">
        <v>34</v>
      </c>
      <c r="U356" s="5">
        <f>MAX(0,MIN(1,1-ABS(supply_chain_data[[#This Row],[Forecast Demand]]-supply_chain_data[[#This Row],[Units Sold]])/supply_chain_data[[#This Row],[Forecast Demand]]))</f>
        <v>0.3529411764705882</v>
      </c>
      <c r="V356" s="4">
        <f>supply_chain_data[[#This Row],[Closing Stock]]/supply_chain_data[[#This Row],[Forecast Demand]]</f>
        <v>6.7352941176470589</v>
      </c>
      <c r="W356">
        <v>192360</v>
      </c>
    </row>
    <row r="357" spans="1:23" hidden="1" x14ac:dyDescent="0.35">
      <c r="A357" t="s">
        <v>34</v>
      </c>
      <c r="B357" t="s">
        <v>35</v>
      </c>
      <c r="C357" t="s">
        <v>20</v>
      </c>
      <c r="D357" t="s">
        <v>43</v>
      </c>
      <c r="E357" t="s">
        <v>48</v>
      </c>
      <c r="F357" t="s">
        <v>33</v>
      </c>
      <c r="G357" s="3">
        <v>45407</v>
      </c>
      <c r="H357">
        <v>187</v>
      </c>
      <c r="I357">
        <v>48</v>
      </c>
      <c r="J357" t="str">
        <f>IF(supply_chain_data[[#This Row],[Units Sold]]&gt;supply_chain_data[[#This Row],[Opening Stock]],"Yes","No")</f>
        <v>No</v>
      </c>
      <c r="K357">
        <v>35</v>
      </c>
      <c r="L357">
        <f>supply_chain_data[[#This Row],[Opening Stock]]+supply_chain_data[[#This Row],[Units Received]]-supply_chain_data[[#This Row],[Units Sold]]</f>
        <v>174</v>
      </c>
      <c r="M357">
        <v>174</v>
      </c>
      <c r="N357">
        <v>64</v>
      </c>
      <c r="O357" s="2">
        <v>645</v>
      </c>
      <c r="P357">
        <v>14</v>
      </c>
      <c r="Q357">
        <v>7</v>
      </c>
      <c r="R35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57" t="s">
        <v>24</v>
      </c>
      <c r="T357">
        <v>49</v>
      </c>
      <c r="U357" s="5">
        <f>MAX(0,MIN(1,1-ABS(supply_chain_data[[#This Row],[Forecast Demand]]-supply_chain_data[[#This Row],[Units Sold]])/supply_chain_data[[#This Row],[Forecast Demand]]))</f>
        <v>0.97959183673469385</v>
      </c>
      <c r="V357" s="4">
        <f>supply_chain_data[[#This Row],[Closing Stock]]/supply_chain_data[[#This Row],[Forecast Demand]]</f>
        <v>3.5510204081632653</v>
      </c>
      <c r="W357">
        <v>112230</v>
      </c>
    </row>
    <row r="358" spans="1:23" hidden="1" x14ac:dyDescent="0.35">
      <c r="A358" t="s">
        <v>34</v>
      </c>
      <c r="B358" t="s">
        <v>35</v>
      </c>
      <c r="C358" t="s">
        <v>20</v>
      </c>
      <c r="D358" t="s">
        <v>21</v>
      </c>
      <c r="E358" t="s">
        <v>22</v>
      </c>
      <c r="F358" t="s">
        <v>23</v>
      </c>
      <c r="G358" s="3">
        <v>45408</v>
      </c>
      <c r="H358">
        <v>80</v>
      </c>
      <c r="I358">
        <v>42</v>
      </c>
      <c r="J358" t="str">
        <f>IF(supply_chain_data[[#This Row],[Units Sold]]&gt;supply_chain_data[[#This Row],[Opening Stock]],"Yes","No")</f>
        <v>No</v>
      </c>
      <c r="K358">
        <v>44</v>
      </c>
      <c r="L358">
        <f>supply_chain_data[[#This Row],[Opening Stock]]+supply_chain_data[[#This Row],[Units Received]]-supply_chain_data[[#This Row],[Units Sold]]</f>
        <v>82</v>
      </c>
      <c r="M358">
        <v>82</v>
      </c>
      <c r="N358">
        <v>46</v>
      </c>
      <c r="O358" s="2">
        <v>1340</v>
      </c>
      <c r="P358">
        <v>8</v>
      </c>
      <c r="Q358">
        <v>3</v>
      </c>
      <c r="R35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358" t="s">
        <v>24</v>
      </c>
      <c r="T358">
        <v>41</v>
      </c>
      <c r="U358" s="5">
        <f>MAX(0,MIN(1,1-ABS(supply_chain_data[[#This Row],[Forecast Demand]]-supply_chain_data[[#This Row],[Units Sold]])/supply_chain_data[[#This Row],[Forecast Demand]]))</f>
        <v>0.97560975609756095</v>
      </c>
      <c r="V358" s="4">
        <f>supply_chain_data[[#This Row],[Closing Stock]]/supply_chain_data[[#This Row],[Forecast Demand]]</f>
        <v>2</v>
      </c>
      <c r="W358">
        <v>109880</v>
      </c>
    </row>
    <row r="359" spans="1:23" x14ac:dyDescent="0.35">
      <c r="A359" t="s">
        <v>25</v>
      </c>
      <c r="B359" t="s">
        <v>26</v>
      </c>
      <c r="C359" t="s">
        <v>20</v>
      </c>
      <c r="D359" t="s">
        <v>31</v>
      </c>
      <c r="E359" t="s">
        <v>32</v>
      </c>
      <c r="F359" t="s">
        <v>30</v>
      </c>
      <c r="G359" s="3">
        <v>45409</v>
      </c>
      <c r="H359">
        <v>118</v>
      </c>
      <c r="I359">
        <v>28</v>
      </c>
      <c r="J359" t="str">
        <f>IF(supply_chain_data[[#This Row],[Units Sold]]&gt;supply_chain_data[[#This Row],[Opening Stock]],"Yes","No")</f>
        <v>No</v>
      </c>
      <c r="K359">
        <v>65</v>
      </c>
      <c r="L359">
        <f>supply_chain_data[[#This Row],[Opening Stock]]+supply_chain_data[[#This Row],[Units Received]]-supply_chain_data[[#This Row],[Units Sold]]</f>
        <v>155</v>
      </c>
      <c r="M359">
        <v>155</v>
      </c>
      <c r="N359">
        <v>75</v>
      </c>
      <c r="O359" s="2">
        <v>1223</v>
      </c>
      <c r="P359">
        <v>4</v>
      </c>
      <c r="Q359">
        <v>7</v>
      </c>
      <c r="R35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59" t="s">
        <v>24</v>
      </c>
      <c r="T359">
        <v>35</v>
      </c>
      <c r="U359" s="5">
        <f>MAX(0,MIN(1,1-ABS(supply_chain_data[[#This Row],[Forecast Demand]]-supply_chain_data[[#This Row],[Units Sold]])/supply_chain_data[[#This Row],[Forecast Demand]]))</f>
        <v>0.8</v>
      </c>
      <c r="V359" s="4">
        <f>supply_chain_data[[#This Row],[Closing Stock]]/supply_chain_data[[#This Row],[Forecast Demand]]</f>
        <v>4.4285714285714288</v>
      </c>
      <c r="W359">
        <v>189565</v>
      </c>
    </row>
    <row r="360" spans="1:23" x14ac:dyDescent="0.35">
      <c r="A360" t="s">
        <v>34</v>
      </c>
      <c r="B360" t="s">
        <v>35</v>
      </c>
      <c r="C360" t="s">
        <v>20</v>
      </c>
      <c r="D360" t="s">
        <v>37</v>
      </c>
      <c r="E360" t="s">
        <v>38</v>
      </c>
      <c r="F360" t="s">
        <v>30</v>
      </c>
      <c r="G360" s="3">
        <v>45410</v>
      </c>
      <c r="H360">
        <v>149</v>
      </c>
      <c r="I360">
        <v>21</v>
      </c>
      <c r="J360" t="str">
        <f>IF(supply_chain_data[[#This Row],[Units Sold]]&gt;supply_chain_data[[#This Row],[Opening Stock]],"Yes","No")</f>
        <v>No</v>
      </c>
      <c r="K360">
        <v>14</v>
      </c>
      <c r="L360">
        <f>supply_chain_data[[#This Row],[Opening Stock]]+supply_chain_data[[#This Row],[Units Received]]-supply_chain_data[[#This Row],[Units Sold]]</f>
        <v>142</v>
      </c>
      <c r="M360">
        <v>142</v>
      </c>
      <c r="N360">
        <v>69</v>
      </c>
      <c r="O360" s="2">
        <v>709</v>
      </c>
      <c r="P360">
        <v>12</v>
      </c>
      <c r="Q360">
        <v>2</v>
      </c>
      <c r="R36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60" t="s">
        <v>24</v>
      </c>
      <c r="T360">
        <v>14</v>
      </c>
      <c r="U360" s="5">
        <f>MAX(0,MIN(1,1-ABS(supply_chain_data[[#This Row],[Forecast Demand]]-supply_chain_data[[#This Row],[Units Sold]])/supply_chain_data[[#This Row],[Forecast Demand]]))</f>
        <v>0.5</v>
      </c>
      <c r="V360" s="4">
        <f>supply_chain_data[[#This Row],[Closing Stock]]/supply_chain_data[[#This Row],[Forecast Demand]]</f>
        <v>10.142857142857142</v>
      </c>
      <c r="W360">
        <v>100678</v>
      </c>
    </row>
    <row r="361" spans="1:23" hidden="1" x14ac:dyDescent="0.35">
      <c r="A361" t="s">
        <v>41</v>
      </c>
      <c r="B361" t="s">
        <v>42</v>
      </c>
      <c r="C361" t="s">
        <v>20</v>
      </c>
      <c r="D361" t="s">
        <v>31</v>
      </c>
      <c r="E361" t="s">
        <v>32</v>
      </c>
      <c r="F361" t="s">
        <v>33</v>
      </c>
      <c r="G361" s="3">
        <v>45411</v>
      </c>
      <c r="H361">
        <v>68</v>
      </c>
      <c r="I361">
        <v>10</v>
      </c>
      <c r="J361" t="str">
        <f>IF(supply_chain_data[[#This Row],[Units Sold]]&gt;supply_chain_data[[#This Row],[Opening Stock]],"Yes","No")</f>
        <v>No</v>
      </c>
      <c r="K361">
        <v>50</v>
      </c>
      <c r="L361">
        <f>supply_chain_data[[#This Row],[Opening Stock]]+supply_chain_data[[#This Row],[Units Received]]-supply_chain_data[[#This Row],[Units Sold]]</f>
        <v>108</v>
      </c>
      <c r="M361">
        <v>108</v>
      </c>
      <c r="N361">
        <v>50</v>
      </c>
      <c r="O361" s="2">
        <v>101</v>
      </c>
      <c r="P361">
        <v>10</v>
      </c>
      <c r="Q361">
        <v>9</v>
      </c>
      <c r="R36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61" t="s">
        <v>24</v>
      </c>
      <c r="T361">
        <v>48</v>
      </c>
      <c r="U361" s="5">
        <f>MAX(0,MIN(1,1-ABS(supply_chain_data[[#This Row],[Forecast Demand]]-supply_chain_data[[#This Row],[Units Sold]])/supply_chain_data[[#This Row],[Forecast Demand]]))</f>
        <v>0.20833333333333337</v>
      </c>
      <c r="V361" s="4">
        <f>supply_chain_data[[#This Row],[Closing Stock]]/supply_chain_data[[#This Row],[Forecast Demand]]</f>
        <v>2.25</v>
      </c>
      <c r="W361">
        <v>10908</v>
      </c>
    </row>
    <row r="362" spans="1:23" x14ac:dyDescent="0.35">
      <c r="A362" t="s">
        <v>41</v>
      </c>
      <c r="B362" t="s">
        <v>42</v>
      </c>
      <c r="C362" t="s">
        <v>20</v>
      </c>
      <c r="D362" t="s">
        <v>39</v>
      </c>
      <c r="E362" t="s">
        <v>45</v>
      </c>
      <c r="F362" t="s">
        <v>23</v>
      </c>
      <c r="G362" s="3">
        <v>45292</v>
      </c>
      <c r="H362">
        <v>177</v>
      </c>
      <c r="I362">
        <v>30</v>
      </c>
      <c r="J362" t="str">
        <f>IF(supply_chain_data[[#This Row],[Units Sold]]&gt;supply_chain_data[[#This Row],[Opening Stock]],"Yes","No")</f>
        <v>No</v>
      </c>
      <c r="K362">
        <v>44</v>
      </c>
      <c r="L362">
        <f>supply_chain_data[[#This Row],[Opening Stock]]+supply_chain_data[[#This Row],[Units Received]]-supply_chain_data[[#This Row],[Units Sold]]</f>
        <v>191</v>
      </c>
      <c r="M362">
        <v>191</v>
      </c>
      <c r="N362">
        <v>66</v>
      </c>
      <c r="O362" s="2">
        <v>1088</v>
      </c>
      <c r="P362">
        <v>7</v>
      </c>
      <c r="Q362">
        <v>8</v>
      </c>
      <c r="R36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62" t="s">
        <v>24</v>
      </c>
      <c r="T362">
        <v>37</v>
      </c>
      <c r="U362" s="5">
        <f>MAX(0,MIN(1,1-ABS(supply_chain_data[[#This Row],[Forecast Demand]]-supply_chain_data[[#This Row],[Units Sold]])/supply_chain_data[[#This Row],[Forecast Demand]]))</f>
        <v>0.81081081081081074</v>
      </c>
      <c r="V362" s="4">
        <f>supply_chain_data[[#This Row],[Closing Stock]]/supply_chain_data[[#This Row],[Forecast Demand]]</f>
        <v>5.1621621621621623</v>
      </c>
      <c r="W362">
        <v>207808</v>
      </c>
    </row>
    <row r="363" spans="1:23" x14ac:dyDescent="0.35">
      <c r="A363" t="s">
        <v>34</v>
      </c>
      <c r="B363" t="s">
        <v>35</v>
      </c>
      <c r="C363" t="s">
        <v>20</v>
      </c>
      <c r="D363" t="s">
        <v>31</v>
      </c>
      <c r="E363" t="s">
        <v>47</v>
      </c>
      <c r="F363" t="s">
        <v>30</v>
      </c>
      <c r="G363" s="3">
        <v>45293</v>
      </c>
      <c r="H363">
        <v>129</v>
      </c>
      <c r="I363">
        <v>20</v>
      </c>
      <c r="J363" t="str">
        <f>IF(supply_chain_data[[#This Row],[Units Sold]]&gt;supply_chain_data[[#This Row],[Opening Stock]],"Yes","No")</f>
        <v>No</v>
      </c>
      <c r="K363">
        <v>2</v>
      </c>
      <c r="L363">
        <f>supply_chain_data[[#This Row],[Opening Stock]]+supply_chain_data[[#This Row],[Units Received]]-supply_chain_data[[#This Row],[Units Sold]]</f>
        <v>111</v>
      </c>
      <c r="M363">
        <v>111</v>
      </c>
      <c r="N363">
        <v>85</v>
      </c>
      <c r="O363" s="2">
        <v>399</v>
      </c>
      <c r="P363">
        <v>11</v>
      </c>
      <c r="Q363">
        <v>7</v>
      </c>
      <c r="R36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63" t="s">
        <v>24</v>
      </c>
      <c r="T363">
        <v>26</v>
      </c>
      <c r="U363" s="5">
        <f>MAX(0,MIN(1,1-ABS(supply_chain_data[[#This Row],[Forecast Demand]]-supply_chain_data[[#This Row],[Units Sold]])/supply_chain_data[[#This Row],[Forecast Demand]]))</f>
        <v>0.76923076923076916</v>
      </c>
      <c r="V363" s="4">
        <f>supply_chain_data[[#This Row],[Closing Stock]]/supply_chain_data[[#This Row],[Forecast Demand]]</f>
        <v>4.2692307692307692</v>
      </c>
      <c r="W363">
        <v>44289</v>
      </c>
    </row>
    <row r="364" spans="1:23" x14ac:dyDescent="0.35">
      <c r="A364" t="s">
        <v>41</v>
      </c>
      <c r="B364" t="s">
        <v>42</v>
      </c>
      <c r="C364" t="s">
        <v>20</v>
      </c>
      <c r="D364" t="s">
        <v>31</v>
      </c>
      <c r="E364" t="s">
        <v>32</v>
      </c>
      <c r="F364" t="s">
        <v>23</v>
      </c>
      <c r="G364" s="3">
        <v>45294</v>
      </c>
      <c r="H364">
        <v>179</v>
      </c>
      <c r="I364">
        <v>5</v>
      </c>
      <c r="J364" t="str">
        <f>IF(supply_chain_data[[#This Row],[Units Sold]]&gt;supply_chain_data[[#This Row],[Opening Stock]],"Yes","No")</f>
        <v>No</v>
      </c>
      <c r="K364">
        <v>63</v>
      </c>
      <c r="L364">
        <f>supply_chain_data[[#This Row],[Opening Stock]]+supply_chain_data[[#This Row],[Units Received]]-supply_chain_data[[#This Row],[Units Sold]]</f>
        <v>237</v>
      </c>
      <c r="M364">
        <v>237</v>
      </c>
      <c r="N364">
        <v>97</v>
      </c>
      <c r="O364" s="2">
        <v>1153</v>
      </c>
      <c r="P364">
        <v>4</v>
      </c>
      <c r="Q364">
        <v>10</v>
      </c>
      <c r="R36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64" t="s">
        <v>24</v>
      </c>
      <c r="T364">
        <v>11</v>
      </c>
      <c r="U364" s="5">
        <f>MAX(0,MIN(1,1-ABS(supply_chain_data[[#This Row],[Forecast Demand]]-supply_chain_data[[#This Row],[Units Sold]])/supply_chain_data[[#This Row],[Forecast Demand]]))</f>
        <v>0.45454545454545459</v>
      </c>
      <c r="V364" s="4">
        <f>supply_chain_data[[#This Row],[Closing Stock]]/supply_chain_data[[#This Row],[Forecast Demand]]</f>
        <v>21.545454545454547</v>
      </c>
      <c r="W364">
        <v>273261</v>
      </c>
    </row>
    <row r="365" spans="1:23" x14ac:dyDescent="0.35">
      <c r="A365" t="s">
        <v>34</v>
      </c>
      <c r="B365" t="s">
        <v>35</v>
      </c>
      <c r="C365" t="s">
        <v>20</v>
      </c>
      <c r="D365" t="s">
        <v>43</v>
      </c>
      <c r="E365" t="s">
        <v>44</v>
      </c>
      <c r="F365" t="s">
        <v>33</v>
      </c>
      <c r="G365" s="3">
        <v>45295</v>
      </c>
      <c r="H365">
        <v>226</v>
      </c>
      <c r="I365">
        <v>37</v>
      </c>
      <c r="J365" t="str">
        <f>IF(supply_chain_data[[#This Row],[Units Sold]]&gt;supply_chain_data[[#This Row],[Opening Stock]],"Yes","No")</f>
        <v>No</v>
      </c>
      <c r="K365">
        <v>53</v>
      </c>
      <c r="L365">
        <f>supply_chain_data[[#This Row],[Opening Stock]]+supply_chain_data[[#This Row],[Units Received]]-supply_chain_data[[#This Row],[Units Sold]]</f>
        <v>242</v>
      </c>
      <c r="M365">
        <v>242</v>
      </c>
      <c r="N365">
        <v>84</v>
      </c>
      <c r="O365" s="2">
        <v>959</v>
      </c>
      <c r="P365">
        <v>14</v>
      </c>
      <c r="Q365">
        <v>5</v>
      </c>
      <c r="R36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65" t="s">
        <v>24</v>
      </c>
      <c r="T365">
        <v>45</v>
      </c>
      <c r="U365" s="5">
        <f>MAX(0,MIN(1,1-ABS(supply_chain_data[[#This Row],[Forecast Demand]]-supply_chain_data[[#This Row],[Units Sold]])/supply_chain_data[[#This Row],[Forecast Demand]]))</f>
        <v>0.82222222222222219</v>
      </c>
      <c r="V365" s="4">
        <f>supply_chain_data[[#This Row],[Closing Stock]]/supply_chain_data[[#This Row],[Forecast Demand]]</f>
        <v>5.3777777777777782</v>
      </c>
      <c r="W365">
        <v>232078</v>
      </c>
    </row>
    <row r="366" spans="1:23" x14ac:dyDescent="0.35">
      <c r="A366" t="s">
        <v>25</v>
      </c>
      <c r="B366" t="s">
        <v>26</v>
      </c>
      <c r="C366" t="s">
        <v>20</v>
      </c>
      <c r="D366" t="s">
        <v>43</v>
      </c>
      <c r="E366" t="s">
        <v>48</v>
      </c>
      <c r="F366" t="s">
        <v>33</v>
      </c>
      <c r="G366" s="3">
        <v>45296</v>
      </c>
      <c r="H366">
        <v>180</v>
      </c>
      <c r="I366">
        <v>59</v>
      </c>
      <c r="J366" t="str">
        <f>IF(supply_chain_data[[#This Row],[Units Sold]]&gt;supply_chain_data[[#This Row],[Opening Stock]],"Yes","No")</f>
        <v>No</v>
      </c>
      <c r="K366">
        <v>15</v>
      </c>
      <c r="L366">
        <f>supply_chain_data[[#This Row],[Opening Stock]]+supply_chain_data[[#This Row],[Units Received]]-supply_chain_data[[#This Row],[Units Sold]]</f>
        <v>136</v>
      </c>
      <c r="M366">
        <v>136</v>
      </c>
      <c r="N366">
        <v>73</v>
      </c>
      <c r="O366" s="2">
        <v>306</v>
      </c>
      <c r="P366">
        <v>12</v>
      </c>
      <c r="Q366">
        <v>10</v>
      </c>
      <c r="R36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66" t="s">
        <v>24</v>
      </c>
      <c r="T366">
        <v>26</v>
      </c>
      <c r="U366" s="5">
        <f>MAX(0,MIN(1,1-ABS(supply_chain_data[[#This Row],[Forecast Demand]]-supply_chain_data[[#This Row],[Units Sold]])/supply_chain_data[[#This Row],[Forecast Demand]]))</f>
        <v>0</v>
      </c>
      <c r="V366" s="4">
        <f>supply_chain_data[[#This Row],[Closing Stock]]/supply_chain_data[[#This Row],[Forecast Demand]]</f>
        <v>5.2307692307692308</v>
      </c>
      <c r="W366">
        <v>41616</v>
      </c>
    </row>
    <row r="367" spans="1:23" hidden="1" x14ac:dyDescent="0.35">
      <c r="A367" t="s">
        <v>25</v>
      </c>
      <c r="B367" t="s">
        <v>26</v>
      </c>
      <c r="C367" t="s">
        <v>20</v>
      </c>
      <c r="D367" t="s">
        <v>43</v>
      </c>
      <c r="E367" t="s">
        <v>44</v>
      </c>
      <c r="F367" t="s">
        <v>23</v>
      </c>
      <c r="G367" s="3">
        <v>45297</v>
      </c>
      <c r="H367">
        <v>68</v>
      </c>
      <c r="I367">
        <v>55</v>
      </c>
      <c r="J367" t="str">
        <f>IF(supply_chain_data[[#This Row],[Units Sold]]&gt;supply_chain_data[[#This Row],[Opening Stock]],"Yes","No")</f>
        <v>No</v>
      </c>
      <c r="K367">
        <v>75</v>
      </c>
      <c r="L367">
        <f>supply_chain_data[[#This Row],[Opening Stock]]+supply_chain_data[[#This Row],[Units Received]]-supply_chain_data[[#This Row],[Units Sold]]</f>
        <v>88</v>
      </c>
      <c r="M367">
        <v>88</v>
      </c>
      <c r="N367">
        <v>49</v>
      </c>
      <c r="O367" s="2">
        <v>58</v>
      </c>
      <c r="P367">
        <v>9</v>
      </c>
      <c r="Q367">
        <v>1</v>
      </c>
      <c r="R36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67" t="s">
        <v>24</v>
      </c>
      <c r="T367">
        <v>32</v>
      </c>
      <c r="U367" s="5">
        <f>MAX(0,MIN(1,1-ABS(supply_chain_data[[#This Row],[Forecast Demand]]-supply_chain_data[[#This Row],[Units Sold]])/supply_chain_data[[#This Row],[Forecast Demand]]))</f>
        <v>0.28125</v>
      </c>
      <c r="V367" s="4">
        <f>supply_chain_data[[#This Row],[Closing Stock]]/supply_chain_data[[#This Row],[Forecast Demand]]</f>
        <v>2.75</v>
      </c>
      <c r="W367">
        <v>5104</v>
      </c>
    </row>
    <row r="368" spans="1:23" x14ac:dyDescent="0.35">
      <c r="A368" t="s">
        <v>25</v>
      </c>
      <c r="B368" t="s">
        <v>26</v>
      </c>
      <c r="C368" t="s">
        <v>20</v>
      </c>
      <c r="D368" t="s">
        <v>43</v>
      </c>
      <c r="E368" t="s">
        <v>48</v>
      </c>
      <c r="F368" t="s">
        <v>33</v>
      </c>
      <c r="G368" s="3">
        <v>45298</v>
      </c>
      <c r="H368">
        <v>274</v>
      </c>
      <c r="I368">
        <v>57</v>
      </c>
      <c r="J368" t="str">
        <f>IF(supply_chain_data[[#This Row],[Units Sold]]&gt;supply_chain_data[[#This Row],[Opening Stock]],"Yes","No")</f>
        <v>No</v>
      </c>
      <c r="K368">
        <v>70</v>
      </c>
      <c r="L368">
        <f>supply_chain_data[[#This Row],[Opening Stock]]+supply_chain_data[[#This Row],[Units Received]]-supply_chain_data[[#This Row],[Units Sold]]</f>
        <v>287</v>
      </c>
      <c r="M368">
        <v>287</v>
      </c>
      <c r="N368">
        <v>92</v>
      </c>
      <c r="O368" s="2">
        <v>312</v>
      </c>
      <c r="P368">
        <v>10</v>
      </c>
      <c r="Q368">
        <v>9</v>
      </c>
      <c r="R36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68" t="s">
        <v>24</v>
      </c>
      <c r="T368">
        <v>58</v>
      </c>
      <c r="U368" s="5">
        <f>MAX(0,MIN(1,1-ABS(supply_chain_data[[#This Row],[Forecast Demand]]-supply_chain_data[[#This Row],[Units Sold]])/supply_chain_data[[#This Row],[Forecast Demand]]))</f>
        <v>0.98275862068965514</v>
      </c>
      <c r="V368" s="4">
        <f>supply_chain_data[[#This Row],[Closing Stock]]/supply_chain_data[[#This Row],[Forecast Demand]]</f>
        <v>4.9482758620689653</v>
      </c>
      <c r="W368">
        <v>89544</v>
      </c>
    </row>
    <row r="369" spans="1:23" x14ac:dyDescent="0.35">
      <c r="A369" t="s">
        <v>34</v>
      </c>
      <c r="B369" t="s">
        <v>35</v>
      </c>
      <c r="C369" t="s">
        <v>20</v>
      </c>
      <c r="D369" t="s">
        <v>43</v>
      </c>
      <c r="E369" t="s">
        <v>48</v>
      </c>
      <c r="F369" t="s">
        <v>23</v>
      </c>
      <c r="G369" s="3">
        <v>45299</v>
      </c>
      <c r="H369">
        <v>135</v>
      </c>
      <c r="I369">
        <v>20</v>
      </c>
      <c r="J369" t="str">
        <f>IF(supply_chain_data[[#This Row],[Units Sold]]&gt;supply_chain_data[[#This Row],[Opening Stock]],"Yes","No")</f>
        <v>No</v>
      </c>
      <c r="K369">
        <v>2</v>
      </c>
      <c r="L369">
        <f>supply_chain_data[[#This Row],[Opening Stock]]+supply_chain_data[[#This Row],[Units Received]]-supply_chain_data[[#This Row],[Units Sold]]</f>
        <v>117</v>
      </c>
      <c r="M369">
        <v>117</v>
      </c>
      <c r="N369">
        <v>54</v>
      </c>
      <c r="O369" s="2">
        <v>875</v>
      </c>
      <c r="P369">
        <v>14</v>
      </c>
      <c r="Q369">
        <v>1</v>
      </c>
      <c r="R36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69" t="s">
        <v>24</v>
      </c>
      <c r="T369">
        <v>24</v>
      </c>
      <c r="U369" s="5">
        <f>MAX(0,MIN(1,1-ABS(supply_chain_data[[#This Row],[Forecast Demand]]-supply_chain_data[[#This Row],[Units Sold]])/supply_chain_data[[#This Row],[Forecast Demand]]))</f>
        <v>0.83333333333333337</v>
      </c>
      <c r="V369" s="4">
        <f>supply_chain_data[[#This Row],[Closing Stock]]/supply_chain_data[[#This Row],[Forecast Demand]]</f>
        <v>4.875</v>
      </c>
      <c r="W369">
        <v>102375</v>
      </c>
    </row>
    <row r="370" spans="1:23" hidden="1" x14ac:dyDescent="0.35">
      <c r="A370" t="s">
        <v>25</v>
      </c>
      <c r="B370" t="s">
        <v>26</v>
      </c>
      <c r="C370" t="s">
        <v>20</v>
      </c>
      <c r="D370" t="s">
        <v>43</v>
      </c>
      <c r="E370" t="s">
        <v>44</v>
      </c>
      <c r="F370" t="s">
        <v>30</v>
      </c>
      <c r="G370" s="3">
        <v>45300</v>
      </c>
      <c r="H370">
        <v>246</v>
      </c>
      <c r="I370">
        <v>60</v>
      </c>
      <c r="J370" t="str">
        <f>IF(supply_chain_data[[#This Row],[Units Sold]]&gt;supply_chain_data[[#This Row],[Opening Stock]],"Yes","No")</f>
        <v>No</v>
      </c>
      <c r="K370">
        <v>26</v>
      </c>
      <c r="L370">
        <f>supply_chain_data[[#This Row],[Opening Stock]]+supply_chain_data[[#This Row],[Units Received]]-supply_chain_data[[#This Row],[Units Sold]]</f>
        <v>212</v>
      </c>
      <c r="M370">
        <v>212</v>
      </c>
      <c r="N370">
        <v>46</v>
      </c>
      <c r="O370" s="2">
        <v>1435</v>
      </c>
      <c r="P370">
        <v>15</v>
      </c>
      <c r="Q370">
        <v>3</v>
      </c>
      <c r="R37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70" t="s">
        <v>24</v>
      </c>
      <c r="T370">
        <v>54</v>
      </c>
      <c r="U370" s="5">
        <f>MAX(0,MIN(1,1-ABS(supply_chain_data[[#This Row],[Forecast Demand]]-supply_chain_data[[#This Row],[Units Sold]])/supply_chain_data[[#This Row],[Forecast Demand]]))</f>
        <v>0.88888888888888884</v>
      </c>
      <c r="V370" s="4">
        <f>supply_chain_data[[#This Row],[Closing Stock]]/supply_chain_data[[#This Row],[Forecast Demand]]</f>
        <v>3.925925925925926</v>
      </c>
      <c r="W370">
        <v>304220</v>
      </c>
    </row>
    <row r="371" spans="1:23" x14ac:dyDescent="0.35">
      <c r="A371" t="s">
        <v>18</v>
      </c>
      <c r="B371" t="s">
        <v>19</v>
      </c>
      <c r="C371" t="s">
        <v>20</v>
      </c>
      <c r="D371" t="s">
        <v>31</v>
      </c>
      <c r="E371" t="s">
        <v>47</v>
      </c>
      <c r="F371" t="s">
        <v>33</v>
      </c>
      <c r="G371" s="3">
        <v>45301</v>
      </c>
      <c r="H371">
        <v>237</v>
      </c>
      <c r="I371">
        <v>42</v>
      </c>
      <c r="J371" t="str">
        <f>IF(supply_chain_data[[#This Row],[Units Sold]]&gt;supply_chain_data[[#This Row],[Opening Stock]],"Yes","No")</f>
        <v>No</v>
      </c>
      <c r="K371">
        <v>40</v>
      </c>
      <c r="L371">
        <f>supply_chain_data[[#This Row],[Opening Stock]]+supply_chain_data[[#This Row],[Units Received]]-supply_chain_data[[#This Row],[Units Sold]]</f>
        <v>235</v>
      </c>
      <c r="M371">
        <v>235</v>
      </c>
      <c r="N371">
        <v>58</v>
      </c>
      <c r="O371" s="2">
        <v>986</v>
      </c>
      <c r="P371">
        <v>5</v>
      </c>
      <c r="Q371">
        <v>3</v>
      </c>
      <c r="R37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71" t="s">
        <v>24</v>
      </c>
      <c r="T371">
        <v>37</v>
      </c>
      <c r="U371" s="5">
        <f>MAX(0,MIN(1,1-ABS(supply_chain_data[[#This Row],[Forecast Demand]]-supply_chain_data[[#This Row],[Units Sold]])/supply_chain_data[[#This Row],[Forecast Demand]]))</f>
        <v>0.86486486486486491</v>
      </c>
      <c r="V371" s="4">
        <f>supply_chain_data[[#This Row],[Closing Stock]]/supply_chain_data[[#This Row],[Forecast Demand]]</f>
        <v>6.3513513513513518</v>
      </c>
      <c r="W371">
        <v>231710</v>
      </c>
    </row>
    <row r="372" spans="1:23" x14ac:dyDescent="0.35">
      <c r="A372" t="s">
        <v>25</v>
      </c>
      <c r="B372" t="s">
        <v>26</v>
      </c>
      <c r="C372" t="s">
        <v>20</v>
      </c>
      <c r="D372" t="s">
        <v>43</v>
      </c>
      <c r="E372" t="s">
        <v>44</v>
      </c>
      <c r="F372" t="s">
        <v>23</v>
      </c>
      <c r="G372" s="3">
        <v>45302</v>
      </c>
      <c r="H372">
        <v>256</v>
      </c>
      <c r="I372">
        <v>6</v>
      </c>
      <c r="J372" t="str">
        <f>IF(supply_chain_data[[#This Row],[Units Sold]]&gt;supply_chain_data[[#This Row],[Opening Stock]],"Yes","No")</f>
        <v>No</v>
      </c>
      <c r="K372">
        <v>43</v>
      </c>
      <c r="L372">
        <f>supply_chain_data[[#This Row],[Opening Stock]]+supply_chain_data[[#This Row],[Units Received]]-supply_chain_data[[#This Row],[Units Sold]]</f>
        <v>293</v>
      </c>
      <c r="M372">
        <v>293</v>
      </c>
      <c r="N372">
        <v>55</v>
      </c>
      <c r="O372" s="2">
        <v>385</v>
      </c>
      <c r="P372">
        <v>12</v>
      </c>
      <c r="Q372">
        <v>2</v>
      </c>
      <c r="R37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72" t="s">
        <v>24</v>
      </c>
      <c r="T372">
        <v>69</v>
      </c>
      <c r="U372" s="5">
        <f>MAX(0,MIN(1,1-ABS(supply_chain_data[[#This Row],[Forecast Demand]]-supply_chain_data[[#This Row],[Units Sold]])/supply_chain_data[[#This Row],[Forecast Demand]]))</f>
        <v>8.6956521739130488E-2</v>
      </c>
      <c r="V372" s="4">
        <f>supply_chain_data[[#This Row],[Closing Stock]]/supply_chain_data[[#This Row],[Forecast Demand]]</f>
        <v>4.2463768115942031</v>
      </c>
      <c r="W372">
        <v>112805</v>
      </c>
    </row>
    <row r="373" spans="1:23" x14ac:dyDescent="0.35">
      <c r="A373" t="s">
        <v>28</v>
      </c>
      <c r="B373" t="s">
        <v>29</v>
      </c>
      <c r="C373" t="s">
        <v>20</v>
      </c>
      <c r="D373" t="s">
        <v>37</v>
      </c>
      <c r="E373" t="s">
        <v>46</v>
      </c>
      <c r="F373" t="s">
        <v>23</v>
      </c>
      <c r="G373" s="3">
        <v>45303</v>
      </c>
      <c r="H373">
        <v>128</v>
      </c>
      <c r="I373">
        <v>24</v>
      </c>
      <c r="J373" t="str">
        <f>IF(supply_chain_data[[#This Row],[Units Sold]]&gt;supply_chain_data[[#This Row],[Opening Stock]],"Yes","No")</f>
        <v>No</v>
      </c>
      <c r="K373">
        <v>59</v>
      </c>
      <c r="L373">
        <f>supply_chain_data[[#This Row],[Opening Stock]]+supply_chain_data[[#This Row],[Units Received]]-supply_chain_data[[#This Row],[Units Sold]]</f>
        <v>163</v>
      </c>
      <c r="M373">
        <v>163</v>
      </c>
      <c r="N373">
        <v>65</v>
      </c>
      <c r="O373" s="2">
        <v>493</v>
      </c>
      <c r="P373">
        <v>5</v>
      </c>
      <c r="Q373">
        <v>3</v>
      </c>
      <c r="R37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73" t="s">
        <v>24</v>
      </c>
      <c r="T373">
        <v>30</v>
      </c>
      <c r="U373" s="5">
        <f>MAX(0,MIN(1,1-ABS(supply_chain_data[[#This Row],[Forecast Demand]]-supply_chain_data[[#This Row],[Units Sold]])/supply_chain_data[[#This Row],[Forecast Demand]]))</f>
        <v>0.8</v>
      </c>
      <c r="V373" s="4">
        <f>supply_chain_data[[#This Row],[Closing Stock]]/supply_chain_data[[#This Row],[Forecast Demand]]</f>
        <v>5.4333333333333336</v>
      </c>
      <c r="W373">
        <v>80359</v>
      </c>
    </row>
    <row r="374" spans="1:23" hidden="1" x14ac:dyDescent="0.35">
      <c r="A374" t="s">
        <v>34</v>
      </c>
      <c r="B374" t="s">
        <v>35</v>
      </c>
      <c r="C374" t="s">
        <v>20</v>
      </c>
      <c r="D374" t="s">
        <v>39</v>
      </c>
      <c r="E374" t="s">
        <v>40</v>
      </c>
      <c r="F374" t="s">
        <v>23</v>
      </c>
      <c r="G374" s="3">
        <v>45304</v>
      </c>
      <c r="H374">
        <v>152</v>
      </c>
      <c r="I374">
        <v>60</v>
      </c>
      <c r="J374" t="str">
        <f>IF(supply_chain_data[[#This Row],[Units Sold]]&gt;supply_chain_data[[#This Row],[Opening Stock]],"Yes","No")</f>
        <v>No</v>
      </c>
      <c r="K374">
        <v>72</v>
      </c>
      <c r="L374">
        <f>supply_chain_data[[#This Row],[Opening Stock]]+supply_chain_data[[#This Row],[Units Received]]-supply_chain_data[[#This Row],[Units Sold]]</f>
        <v>164</v>
      </c>
      <c r="M374">
        <v>164</v>
      </c>
      <c r="N374">
        <v>58</v>
      </c>
      <c r="O374" s="2">
        <v>776</v>
      </c>
      <c r="P374">
        <v>2</v>
      </c>
      <c r="Q374">
        <v>4</v>
      </c>
      <c r="R37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74" t="s">
        <v>24</v>
      </c>
      <c r="T374">
        <v>68</v>
      </c>
      <c r="U374" s="5">
        <f>MAX(0,MIN(1,1-ABS(supply_chain_data[[#This Row],[Forecast Demand]]-supply_chain_data[[#This Row],[Units Sold]])/supply_chain_data[[#This Row],[Forecast Demand]]))</f>
        <v>0.88235294117647056</v>
      </c>
      <c r="V374" s="4">
        <f>supply_chain_data[[#This Row],[Closing Stock]]/supply_chain_data[[#This Row],[Forecast Demand]]</f>
        <v>2.4117647058823528</v>
      </c>
      <c r="W374">
        <v>127264</v>
      </c>
    </row>
    <row r="375" spans="1:23" hidden="1" x14ac:dyDescent="0.35">
      <c r="A375" t="s">
        <v>25</v>
      </c>
      <c r="B375" t="s">
        <v>26</v>
      </c>
      <c r="C375" t="s">
        <v>20</v>
      </c>
      <c r="D375" t="s">
        <v>21</v>
      </c>
      <c r="E375" t="s">
        <v>27</v>
      </c>
      <c r="F375" t="s">
        <v>23</v>
      </c>
      <c r="G375" s="3">
        <v>45305</v>
      </c>
      <c r="H375">
        <v>84</v>
      </c>
      <c r="I375">
        <v>49</v>
      </c>
      <c r="J375" t="str">
        <f>IF(supply_chain_data[[#This Row],[Units Sold]]&gt;supply_chain_data[[#This Row],[Opening Stock]],"Yes","No")</f>
        <v>No</v>
      </c>
      <c r="K375">
        <v>44</v>
      </c>
      <c r="L375">
        <f>supply_chain_data[[#This Row],[Opening Stock]]+supply_chain_data[[#This Row],[Units Received]]-supply_chain_data[[#This Row],[Units Sold]]</f>
        <v>79</v>
      </c>
      <c r="M375">
        <v>79</v>
      </c>
      <c r="N375">
        <v>51</v>
      </c>
      <c r="O375" s="2">
        <v>149</v>
      </c>
      <c r="P375">
        <v>8</v>
      </c>
      <c r="Q375">
        <v>0</v>
      </c>
      <c r="R37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375" t="s">
        <v>24</v>
      </c>
      <c r="T375">
        <v>43</v>
      </c>
      <c r="U375" s="5">
        <f>MAX(0,MIN(1,1-ABS(supply_chain_data[[#This Row],[Forecast Demand]]-supply_chain_data[[#This Row],[Units Sold]])/supply_chain_data[[#This Row],[Forecast Demand]]))</f>
        <v>0.86046511627906974</v>
      </c>
      <c r="V375" s="4">
        <f>supply_chain_data[[#This Row],[Closing Stock]]/supply_chain_data[[#This Row],[Forecast Demand]]</f>
        <v>1.8372093023255813</v>
      </c>
      <c r="W375">
        <v>11771</v>
      </c>
    </row>
    <row r="376" spans="1:23" x14ac:dyDescent="0.35">
      <c r="A376" t="s">
        <v>34</v>
      </c>
      <c r="B376" t="s">
        <v>35</v>
      </c>
      <c r="C376" t="s">
        <v>20</v>
      </c>
      <c r="D376" t="s">
        <v>39</v>
      </c>
      <c r="E376" t="s">
        <v>45</v>
      </c>
      <c r="F376" t="s">
        <v>23</v>
      </c>
      <c r="G376" s="3">
        <v>45306</v>
      </c>
      <c r="H376">
        <v>265</v>
      </c>
      <c r="I376">
        <v>57</v>
      </c>
      <c r="J376" t="str">
        <f>IF(supply_chain_data[[#This Row],[Units Sold]]&gt;supply_chain_data[[#This Row],[Opening Stock]],"Yes","No")</f>
        <v>No</v>
      </c>
      <c r="K376">
        <v>5</v>
      </c>
      <c r="L376">
        <f>supply_chain_data[[#This Row],[Opening Stock]]+supply_chain_data[[#This Row],[Units Received]]-supply_chain_data[[#This Row],[Units Sold]]</f>
        <v>213</v>
      </c>
      <c r="M376">
        <v>213</v>
      </c>
      <c r="N376">
        <v>41</v>
      </c>
      <c r="O376" s="2">
        <v>421</v>
      </c>
      <c r="P376">
        <v>11</v>
      </c>
      <c r="Q376">
        <v>6</v>
      </c>
      <c r="R37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76" t="s">
        <v>24</v>
      </c>
      <c r="T376">
        <v>26</v>
      </c>
      <c r="U376" s="5">
        <f>MAX(0,MIN(1,1-ABS(supply_chain_data[[#This Row],[Forecast Demand]]-supply_chain_data[[#This Row],[Units Sold]])/supply_chain_data[[#This Row],[Forecast Demand]]))</f>
        <v>0</v>
      </c>
      <c r="V376" s="4">
        <f>supply_chain_data[[#This Row],[Closing Stock]]/supply_chain_data[[#This Row],[Forecast Demand]]</f>
        <v>8.1923076923076916</v>
      </c>
      <c r="W376">
        <v>89673</v>
      </c>
    </row>
    <row r="377" spans="1:23" hidden="1" x14ac:dyDescent="0.35">
      <c r="A377" t="s">
        <v>41</v>
      </c>
      <c r="B377" t="s">
        <v>42</v>
      </c>
      <c r="C377" t="s">
        <v>20</v>
      </c>
      <c r="D377" t="s">
        <v>37</v>
      </c>
      <c r="E377" t="s">
        <v>38</v>
      </c>
      <c r="F377" t="s">
        <v>23</v>
      </c>
      <c r="G377" s="3">
        <v>45307</v>
      </c>
      <c r="H377">
        <v>114</v>
      </c>
      <c r="I377">
        <v>16</v>
      </c>
      <c r="J377" t="str">
        <f>IF(supply_chain_data[[#This Row],[Units Sold]]&gt;supply_chain_data[[#This Row],[Opening Stock]],"Yes","No")</f>
        <v>No</v>
      </c>
      <c r="K377">
        <v>3</v>
      </c>
      <c r="L377">
        <f>supply_chain_data[[#This Row],[Opening Stock]]+supply_chain_data[[#This Row],[Units Received]]-supply_chain_data[[#This Row],[Units Sold]]</f>
        <v>101</v>
      </c>
      <c r="M377">
        <v>101</v>
      </c>
      <c r="N377">
        <v>47</v>
      </c>
      <c r="O377" s="2">
        <v>98</v>
      </c>
      <c r="P377">
        <v>4</v>
      </c>
      <c r="Q377">
        <v>3</v>
      </c>
      <c r="R37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377" t="s">
        <v>24</v>
      </c>
      <c r="T377">
        <v>67</v>
      </c>
      <c r="U377" s="5">
        <f>MAX(0,MIN(1,1-ABS(supply_chain_data[[#This Row],[Forecast Demand]]-supply_chain_data[[#This Row],[Units Sold]])/supply_chain_data[[#This Row],[Forecast Demand]]))</f>
        <v>0.23880597014925375</v>
      </c>
      <c r="V377" s="4">
        <f>supply_chain_data[[#This Row],[Closing Stock]]/supply_chain_data[[#This Row],[Forecast Demand]]</f>
        <v>1.5074626865671641</v>
      </c>
      <c r="W377">
        <v>9898</v>
      </c>
    </row>
    <row r="378" spans="1:23" x14ac:dyDescent="0.35">
      <c r="A378" t="s">
        <v>34</v>
      </c>
      <c r="B378" t="s">
        <v>35</v>
      </c>
      <c r="C378" t="s">
        <v>20</v>
      </c>
      <c r="D378" t="s">
        <v>39</v>
      </c>
      <c r="E378" t="s">
        <v>45</v>
      </c>
      <c r="F378" t="s">
        <v>30</v>
      </c>
      <c r="G378" s="3">
        <v>45308</v>
      </c>
      <c r="H378">
        <v>193</v>
      </c>
      <c r="I378">
        <v>20</v>
      </c>
      <c r="J378" t="str">
        <f>IF(supply_chain_data[[#This Row],[Units Sold]]&gt;supply_chain_data[[#This Row],[Opening Stock]],"Yes","No")</f>
        <v>No</v>
      </c>
      <c r="K378">
        <v>73</v>
      </c>
      <c r="L378">
        <f>supply_chain_data[[#This Row],[Opening Stock]]+supply_chain_data[[#This Row],[Units Received]]-supply_chain_data[[#This Row],[Units Sold]]</f>
        <v>246</v>
      </c>
      <c r="M378">
        <v>246</v>
      </c>
      <c r="N378">
        <v>72</v>
      </c>
      <c r="O378" s="2">
        <v>851</v>
      </c>
      <c r="P378">
        <v>8</v>
      </c>
      <c r="Q378">
        <v>8</v>
      </c>
      <c r="R37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78" t="s">
        <v>24</v>
      </c>
      <c r="T378">
        <v>32</v>
      </c>
      <c r="U378" s="5">
        <f>MAX(0,MIN(1,1-ABS(supply_chain_data[[#This Row],[Forecast Demand]]-supply_chain_data[[#This Row],[Units Sold]])/supply_chain_data[[#This Row],[Forecast Demand]]))</f>
        <v>0.625</v>
      </c>
      <c r="V378" s="4">
        <f>supply_chain_data[[#This Row],[Closing Stock]]/supply_chain_data[[#This Row],[Forecast Demand]]</f>
        <v>7.6875</v>
      </c>
      <c r="W378">
        <v>209346</v>
      </c>
    </row>
    <row r="379" spans="1:23" hidden="1" x14ac:dyDescent="0.35">
      <c r="A379" t="s">
        <v>25</v>
      </c>
      <c r="B379" t="s">
        <v>26</v>
      </c>
      <c r="C379" t="s">
        <v>20</v>
      </c>
      <c r="D379" t="s">
        <v>37</v>
      </c>
      <c r="E379" t="s">
        <v>46</v>
      </c>
      <c r="F379" t="s">
        <v>30</v>
      </c>
      <c r="G379" s="3">
        <v>45309</v>
      </c>
      <c r="H379">
        <v>152</v>
      </c>
      <c r="I379">
        <v>25</v>
      </c>
      <c r="J379" t="str">
        <f>IF(supply_chain_data[[#This Row],[Units Sold]]&gt;supply_chain_data[[#This Row],[Opening Stock]],"Yes","No")</f>
        <v>No</v>
      </c>
      <c r="K379">
        <v>61</v>
      </c>
      <c r="L379">
        <f>supply_chain_data[[#This Row],[Opening Stock]]+supply_chain_data[[#This Row],[Units Received]]-supply_chain_data[[#This Row],[Units Sold]]</f>
        <v>188</v>
      </c>
      <c r="M379">
        <v>188</v>
      </c>
      <c r="N379">
        <v>84</v>
      </c>
      <c r="O379" s="2">
        <v>638</v>
      </c>
      <c r="P379">
        <v>15</v>
      </c>
      <c r="Q379">
        <v>8</v>
      </c>
      <c r="R37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79" t="s">
        <v>24</v>
      </c>
      <c r="T379">
        <v>53</v>
      </c>
      <c r="U379" s="5">
        <f>MAX(0,MIN(1,1-ABS(supply_chain_data[[#This Row],[Forecast Demand]]-supply_chain_data[[#This Row],[Units Sold]])/supply_chain_data[[#This Row],[Forecast Demand]]))</f>
        <v>0.47169811320754718</v>
      </c>
      <c r="V379" s="4">
        <f>supply_chain_data[[#This Row],[Closing Stock]]/supply_chain_data[[#This Row],[Forecast Demand]]</f>
        <v>3.5471698113207548</v>
      </c>
      <c r="W379">
        <v>119944</v>
      </c>
    </row>
    <row r="380" spans="1:23" hidden="1" x14ac:dyDescent="0.35">
      <c r="A380" t="s">
        <v>41</v>
      </c>
      <c r="B380" t="s">
        <v>42</v>
      </c>
      <c r="C380" t="s">
        <v>20</v>
      </c>
      <c r="D380" t="s">
        <v>37</v>
      </c>
      <c r="E380" t="s">
        <v>38</v>
      </c>
      <c r="F380" t="s">
        <v>30</v>
      </c>
      <c r="G380" s="3">
        <v>45310</v>
      </c>
      <c r="H380">
        <v>90</v>
      </c>
      <c r="I380">
        <v>35</v>
      </c>
      <c r="J380" t="str">
        <f>IF(supply_chain_data[[#This Row],[Units Sold]]&gt;supply_chain_data[[#This Row],[Opening Stock]],"Yes","No")</f>
        <v>No</v>
      </c>
      <c r="K380">
        <v>16</v>
      </c>
      <c r="L380">
        <f>supply_chain_data[[#This Row],[Opening Stock]]+supply_chain_data[[#This Row],[Units Received]]-supply_chain_data[[#This Row],[Units Sold]]</f>
        <v>71</v>
      </c>
      <c r="M380">
        <v>71</v>
      </c>
      <c r="N380">
        <v>90</v>
      </c>
      <c r="O380" s="2">
        <v>101</v>
      </c>
      <c r="P380">
        <v>11</v>
      </c>
      <c r="Q380">
        <v>7</v>
      </c>
      <c r="R38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380" t="s">
        <v>36</v>
      </c>
      <c r="T380">
        <v>43</v>
      </c>
      <c r="U380" s="5">
        <f>MAX(0,MIN(1,1-ABS(supply_chain_data[[#This Row],[Forecast Demand]]-supply_chain_data[[#This Row],[Units Sold]])/supply_chain_data[[#This Row],[Forecast Demand]]))</f>
        <v>0.81395348837209303</v>
      </c>
      <c r="V380" s="4">
        <f>supply_chain_data[[#This Row],[Closing Stock]]/supply_chain_data[[#This Row],[Forecast Demand]]</f>
        <v>1.6511627906976745</v>
      </c>
      <c r="W380">
        <v>7171</v>
      </c>
    </row>
    <row r="381" spans="1:23" x14ac:dyDescent="0.35">
      <c r="A381" t="s">
        <v>18</v>
      </c>
      <c r="B381" t="s">
        <v>19</v>
      </c>
      <c r="C381" t="s">
        <v>20</v>
      </c>
      <c r="D381" t="s">
        <v>37</v>
      </c>
      <c r="E381" t="s">
        <v>46</v>
      </c>
      <c r="F381" t="s">
        <v>30</v>
      </c>
      <c r="G381" s="3">
        <v>45311</v>
      </c>
      <c r="H381">
        <v>275</v>
      </c>
      <c r="I381">
        <v>52</v>
      </c>
      <c r="J381" t="str">
        <f>IF(supply_chain_data[[#This Row],[Units Sold]]&gt;supply_chain_data[[#This Row],[Opening Stock]],"Yes","No")</f>
        <v>No</v>
      </c>
      <c r="K381">
        <v>75</v>
      </c>
      <c r="L381">
        <f>supply_chain_data[[#This Row],[Opening Stock]]+supply_chain_data[[#This Row],[Units Received]]-supply_chain_data[[#This Row],[Units Sold]]</f>
        <v>298</v>
      </c>
      <c r="M381">
        <v>298</v>
      </c>
      <c r="N381">
        <v>74</v>
      </c>
      <c r="O381" s="2">
        <v>311</v>
      </c>
      <c r="P381">
        <v>12</v>
      </c>
      <c r="Q381">
        <v>5</v>
      </c>
      <c r="R38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81" t="s">
        <v>24</v>
      </c>
      <c r="T381">
        <v>14</v>
      </c>
      <c r="U381" s="5">
        <f>MAX(0,MIN(1,1-ABS(supply_chain_data[[#This Row],[Forecast Demand]]-supply_chain_data[[#This Row],[Units Sold]])/supply_chain_data[[#This Row],[Forecast Demand]]))</f>
        <v>0</v>
      </c>
      <c r="V381" s="4">
        <f>supply_chain_data[[#This Row],[Closing Stock]]/supply_chain_data[[#This Row],[Forecast Demand]]</f>
        <v>21.285714285714285</v>
      </c>
      <c r="W381">
        <v>92678</v>
      </c>
    </row>
    <row r="382" spans="1:23" hidden="1" x14ac:dyDescent="0.35">
      <c r="A382" t="s">
        <v>25</v>
      </c>
      <c r="B382" t="s">
        <v>26</v>
      </c>
      <c r="C382" t="s">
        <v>20</v>
      </c>
      <c r="D382" t="s">
        <v>21</v>
      </c>
      <c r="E382" t="s">
        <v>22</v>
      </c>
      <c r="F382" t="s">
        <v>33</v>
      </c>
      <c r="G382" s="3">
        <v>45312</v>
      </c>
      <c r="H382">
        <v>219</v>
      </c>
      <c r="I382">
        <v>42</v>
      </c>
      <c r="J382" t="str">
        <f>IF(supply_chain_data[[#This Row],[Units Sold]]&gt;supply_chain_data[[#This Row],[Opening Stock]],"Yes","No")</f>
        <v>No</v>
      </c>
      <c r="K382">
        <v>39</v>
      </c>
      <c r="L382">
        <f>supply_chain_data[[#This Row],[Opening Stock]]+supply_chain_data[[#This Row],[Units Received]]-supply_chain_data[[#This Row],[Units Sold]]</f>
        <v>216</v>
      </c>
      <c r="M382">
        <v>216</v>
      </c>
      <c r="N382">
        <v>47</v>
      </c>
      <c r="O382" s="2">
        <v>137</v>
      </c>
      <c r="P382">
        <v>11</v>
      </c>
      <c r="Q382">
        <v>4</v>
      </c>
      <c r="R38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82" t="s">
        <v>24</v>
      </c>
      <c r="T382">
        <v>70</v>
      </c>
      <c r="U382" s="5">
        <f>MAX(0,MIN(1,1-ABS(supply_chain_data[[#This Row],[Forecast Demand]]-supply_chain_data[[#This Row],[Units Sold]])/supply_chain_data[[#This Row],[Forecast Demand]]))</f>
        <v>0.6</v>
      </c>
      <c r="V382" s="4">
        <f>supply_chain_data[[#This Row],[Closing Stock]]/supply_chain_data[[#This Row],[Forecast Demand]]</f>
        <v>3.0857142857142859</v>
      </c>
      <c r="W382">
        <v>29592</v>
      </c>
    </row>
    <row r="383" spans="1:23" x14ac:dyDescent="0.35">
      <c r="A383" t="s">
        <v>34</v>
      </c>
      <c r="B383" t="s">
        <v>35</v>
      </c>
      <c r="C383" t="s">
        <v>20</v>
      </c>
      <c r="D383" t="s">
        <v>37</v>
      </c>
      <c r="E383" t="s">
        <v>46</v>
      </c>
      <c r="F383" t="s">
        <v>33</v>
      </c>
      <c r="G383" s="3">
        <v>45313</v>
      </c>
      <c r="H383">
        <v>263</v>
      </c>
      <c r="I383">
        <v>5</v>
      </c>
      <c r="J383" t="str">
        <f>IF(supply_chain_data[[#This Row],[Units Sold]]&gt;supply_chain_data[[#This Row],[Opening Stock]],"Yes","No")</f>
        <v>No</v>
      </c>
      <c r="K383">
        <v>64</v>
      </c>
      <c r="L383">
        <f>supply_chain_data[[#This Row],[Opening Stock]]+supply_chain_data[[#This Row],[Units Received]]-supply_chain_data[[#This Row],[Units Sold]]</f>
        <v>322</v>
      </c>
      <c r="M383">
        <v>322</v>
      </c>
      <c r="N383">
        <v>50</v>
      </c>
      <c r="O383" s="2">
        <v>995</v>
      </c>
      <c r="P383">
        <v>14</v>
      </c>
      <c r="Q383">
        <v>9</v>
      </c>
      <c r="R38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83" t="s">
        <v>24</v>
      </c>
      <c r="T383">
        <v>27</v>
      </c>
      <c r="U383" s="5">
        <f>MAX(0,MIN(1,1-ABS(supply_chain_data[[#This Row],[Forecast Demand]]-supply_chain_data[[#This Row],[Units Sold]])/supply_chain_data[[#This Row],[Forecast Demand]]))</f>
        <v>0.18518518518518523</v>
      </c>
      <c r="V383" s="4">
        <f>supply_chain_data[[#This Row],[Closing Stock]]/supply_chain_data[[#This Row],[Forecast Demand]]</f>
        <v>11.925925925925926</v>
      </c>
      <c r="W383">
        <v>320390</v>
      </c>
    </row>
    <row r="384" spans="1:23" hidden="1" x14ac:dyDescent="0.35">
      <c r="A384" t="s">
        <v>18</v>
      </c>
      <c r="B384" t="s">
        <v>19</v>
      </c>
      <c r="C384" t="s">
        <v>20</v>
      </c>
      <c r="D384" t="s">
        <v>37</v>
      </c>
      <c r="E384" t="s">
        <v>38</v>
      </c>
      <c r="F384" t="s">
        <v>30</v>
      </c>
      <c r="G384" s="3">
        <v>45314</v>
      </c>
      <c r="H384">
        <v>97</v>
      </c>
      <c r="I384">
        <v>32</v>
      </c>
      <c r="J384" t="str">
        <f>IF(supply_chain_data[[#This Row],[Units Sold]]&gt;supply_chain_data[[#This Row],[Opening Stock]],"Yes","No")</f>
        <v>No</v>
      </c>
      <c r="K384">
        <v>35</v>
      </c>
      <c r="L384">
        <f>supply_chain_data[[#This Row],[Opening Stock]]+supply_chain_data[[#This Row],[Units Received]]-supply_chain_data[[#This Row],[Units Sold]]</f>
        <v>100</v>
      </c>
      <c r="M384">
        <v>100</v>
      </c>
      <c r="N384">
        <v>54</v>
      </c>
      <c r="O384" s="2">
        <v>381</v>
      </c>
      <c r="P384">
        <v>12</v>
      </c>
      <c r="Q384">
        <v>6</v>
      </c>
      <c r="R38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384" t="s">
        <v>24</v>
      </c>
      <c r="T384">
        <v>51</v>
      </c>
      <c r="U384" s="5">
        <f>MAX(0,MIN(1,1-ABS(supply_chain_data[[#This Row],[Forecast Demand]]-supply_chain_data[[#This Row],[Units Sold]])/supply_chain_data[[#This Row],[Forecast Demand]]))</f>
        <v>0.62745098039215685</v>
      </c>
      <c r="V384" s="4">
        <f>supply_chain_data[[#This Row],[Closing Stock]]/supply_chain_data[[#This Row],[Forecast Demand]]</f>
        <v>1.9607843137254901</v>
      </c>
      <c r="W384">
        <v>38100</v>
      </c>
    </row>
    <row r="385" spans="1:23" x14ac:dyDescent="0.35">
      <c r="A385" t="s">
        <v>28</v>
      </c>
      <c r="B385" t="s">
        <v>29</v>
      </c>
      <c r="C385" t="s">
        <v>20</v>
      </c>
      <c r="D385" t="s">
        <v>37</v>
      </c>
      <c r="E385" t="s">
        <v>46</v>
      </c>
      <c r="F385" t="s">
        <v>33</v>
      </c>
      <c r="G385" s="3">
        <v>45315</v>
      </c>
      <c r="H385">
        <v>241</v>
      </c>
      <c r="I385">
        <v>58</v>
      </c>
      <c r="J385" t="str">
        <f>IF(supply_chain_data[[#This Row],[Units Sold]]&gt;supply_chain_data[[#This Row],[Opening Stock]],"Yes","No")</f>
        <v>No</v>
      </c>
      <c r="K385">
        <v>61</v>
      </c>
      <c r="L385">
        <f>supply_chain_data[[#This Row],[Opening Stock]]+supply_chain_data[[#This Row],[Units Received]]-supply_chain_data[[#This Row],[Units Sold]]</f>
        <v>244</v>
      </c>
      <c r="M385">
        <v>244</v>
      </c>
      <c r="N385">
        <v>76</v>
      </c>
      <c r="O385" s="2">
        <v>390</v>
      </c>
      <c r="P385">
        <v>9</v>
      </c>
      <c r="Q385">
        <v>10</v>
      </c>
      <c r="R38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85" t="s">
        <v>24</v>
      </c>
      <c r="T385">
        <v>15</v>
      </c>
      <c r="U385" s="5">
        <f>MAX(0,MIN(1,1-ABS(supply_chain_data[[#This Row],[Forecast Demand]]-supply_chain_data[[#This Row],[Units Sold]])/supply_chain_data[[#This Row],[Forecast Demand]]))</f>
        <v>0</v>
      </c>
      <c r="V385" s="4">
        <f>supply_chain_data[[#This Row],[Closing Stock]]/supply_chain_data[[#This Row],[Forecast Demand]]</f>
        <v>16.266666666666666</v>
      </c>
      <c r="W385">
        <v>95160</v>
      </c>
    </row>
    <row r="386" spans="1:23" hidden="1" x14ac:dyDescent="0.35">
      <c r="A386" t="s">
        <v>25</v>
      </c>
      <c r="B386" t="s">
        <v>26</v>
      </c>
      <c r="C386" t="s">
        <v>20</v>
      </c>
      <c r="D386" t="s">
        <v>43</v>
      </c>
      <c r="E386" t="s">
        <v>48</v>
      </c>
      <c r="F386" t="s">
        <v>23</v>
      </c>
      <c r="G386" s="3">
        <v>45316</v>
      </c>
      <c r="H386">
        <v>158</v>
      </c>
      <c r="I386">
        <v>39</v>
      </c>
      <c r="J386" t="str">
        <f>IF(supply_chain_data[[#This Row],[Units Sold]]&gt;supply_chain_data[[#This Row],[Opening Stock]],"Yes","No")</f>
        <v>No</v>
      </c>
      <c r="K386">
        <v>29</v>
      </c>
      <c r="L386">
        <f>supply_chain_data[[#This Row],[Opening Stock]]+supply_chain_data[[#This Row],[Units Received]]-supply_chain_data[[#This Row],[Units Sold]]</f>
        <v>148</v>
      </c>
      <c r="M386">
        <v>148</v>
      </c>
      <c r="N386">
        <v>67</v>
      </c>
      <c r="O386" s="2">
        <v>1268</v>
      </c>
      <c r="P386">
        <v>6</v>
      </c>
      <c r="Q386">
        <v>0</v>
      </c>
      <c r="R38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86" t="s">
        <v>24</v>
      </c>
      <c r="T386">
        <v>68</v>
      </c>
      <c r="U386" s="5">
        <f>MAX(0,MIN(1,1-ABS(supply_chain_data[[#This Row],[Forecast Demand]]-supply_chain_data[[#This Row],[Units Sold]])/supply_chain_data[[#This Row],[Forecast Demand]]))</f>
        <v>0.57352941176470584</v>
      </c>
      <c r="V386" s="4">
        <f>supply_chain_data[[#This Row],[Closing Stock]]/supply_chain_data[[#This Row],[Forecast Demand]]</f>
        <v>2.1764705882352939</v>
      </c>
      <c r="W386">
        <v>187664</v>
      </c>
    </row>
    <row r="387" spans="1:23" hidden="1" x14ac:dyDescent="0.35">
      <c r="A387" t="s">
        <v>28</v>
      </c>
      <c r="B387" t="s">
        <v>29</v>
      </c>
      <c r="C387" t="s">
        <v>20</v>
      </c>
      <c r="D387" t="s">
        <v>39</v>
      </c>
      <c r="E387" t="s">
        <v>40</v>
      </c>
      <c r="F387" t="s">
        <v>33</v>
      </c>
      <c r="G387" s="3">
        <v>45317</v>
      </c>
      <c r="H387">
        <v>56</v>
      </c>
      <c r="I387">
        <v>35</v>
      </c>
      <c r="J387" t="str">
        <f>IF(supply_chain_data[[#This Row],[Units Sold]]&gt;supply_chain_data[[#This Row],[Opening Stock]],"Yes","No")</f>
        <v>No</v>
      </c>
      <c r="K387">
        <v>30</v>
      </c>
      <c r="L387">
        <f>supply_chain_data[[#This Row],[Opening Stock]]+supply_chain_data[[#This Row],[Units Received]]-supply_chain_data[[#This Row],[Units Sold]]</f>
        <v>51</v>
      </c>
      <c r="M387">
        <v>51</v>
      </c>
      <c r="N387">
        <v>80</v>
      </c>
      <c r="O387" s="2">
        <v>1038</v>
      </c>
      <c r="P387">
        <v>14</v>
      </c>
      <c r="Q387">
        <v>2</v>
      </c>
      <c r="R38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387" t="s">
        <v>36</v>
      </c>
      <c r="T387">
        <v>34</v>
      </c>
      <c r="U387" s="5">
        <f>MAX(0,MIN(1,1-ABS(supply_chain_data[[#This Row],[Forecast Demand]]-supply_chain_data[[#This Row],[Units Sold]])/supply_chain_data[[#This Row],[Forecast Demand]]))</f>
        <v>0.97058823529411764</v>
      </c>
      <c r="V387" s="4">
        <f>supply_chain_data[[#This Row],[Closing Stock]]/supply_chain_data[[#This Row],[Forecast Demand]]</f>
        <v>1.5</v>
      </c>
      <c r="W387">
        <v>52938</v>
      </c>
    </row>
    <row r="388" spans="1:23" x14ac:dyDescent="0.35">
      <c r="A388" t="s">
        <v>18</v>
      </c>
      <c r="B388" t="s">
        <v>19</v>
      </c>
      <c r="C388" t="s">
        <v>20</v>
      </c>
      <c r="D388" t="s">
        <v>21</v>
      </c>
      <c r="E388" t="s">
        <v>22</v>
      </c>
      <c r="F388" t="s">
        <v>30</v>
      </c>
      <c r="G388" s="3">
        <v>45318</v>
      </c>
      <c r="H388">
        <v>293</v>
      </c>
      <c r="I388">
        <v>55</v>
      </c>
      <c r="J388" t="str">
        <f>IF(supply_chain_data[[#This Row],[Units Sold]]&gt;supply_chain_data[[#This Row],[Opening Stock]],"Yes","No")</f>
        <v>No</v>
      </c>
      <c r="K388">
        <v>37</v>
      </c>
      <c r="L388">
        <f>supply_chain_data[[#This Row],[Opening Stock]]+supply_chain_data[[#This Row],[Units Received]]-supply_chain_data[[#This Row],[Units Sold]]</f>
        <v>275</v>
      </c>
      <c r="M388">
        <v>275</v>
      </c>
      <c r="N388">
        <v>83</v>
      </c>
      <c r="O388" s="2">
        <v>379</v>
      </c>
      <c r="P388">
        <v>5</v>
      </c>
      <c r="Q388">
        <v>4</v>
      </c>
      <c r="R38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88" t="s">
        <v>24</v>
      </c>
      <c r="T388">
        <v>58</v>
      </c>
      <c r="U388" s="5">
        <f>MAX(0,MIN(1,1-ABS(supply_chain_data[[#This Row],[Forecast Demand]]-supply_chain_data[[#This Row],[Units Sold]])/supply_chain_data[[#This Row],[Forecast Demand]]))</f>
        <v>0.94827586206896552</v>
      </c>
      <c r="V388" s="4">
        <f>supply_chain_data[[#This Row],[Closing Stock]]/supply_chain_data[[#This Row],[Forecast Demand]]</f>
        <v>4.7413793103448274</v>
      </c>
      <c r="W388">
        <v>104225</v>
      </c>
    </row>
    <row r="389" spans="1:23" hidden="1" x14ac:dyDescent="0.35">
      <c r="A389" t="s">
        <v>41</v>
      </c>
      <c r="B389" t="s">
        <v>42</v>
      </c>
      <c r="C389" t="s">
        <v>20</v>
      </c>
      <c r="D389" t="s">
        <v>37</v>
      </c>
      <c r="E389" t="s">
        <v>46</v>
      </c>
      <c r="F389" t="s">
        <v>23</v>
      </c>
      <c r="G389" s="3">
        <v>45319</v>
      </c>
      <c r="H389">
        <v>53</v>
      </c>
      <c r="I389">
        <v>21</v>
      </c>
      <c r="J389" t="str">
        <f>IF(supply_chain_data[[#This Row],[Units Sold]]&gt;supply_chain_data[[#This Row],[Opening Stock]],"Yes","No")</f>
        <v>No</v>
      </c>
      <c r="K389">
        <v>43</v>
      </c>
      <c r="L389">
        <f>supply_chain_data[[#This Row],[Opening Stock]]+supply_chain_data[[#This Row],[Units Received]]-supply_chain_data[[#This Row],[Units Sold]]</f>
        <v>75</v>
      </c>
      <c r="M389">
        <v>75</v>
      </c>
      <c r="N389">
        <v>54</v>
      </c>
      <c r="O389" s="2">
        <v>448</v>
      </c>
      <c r="P389">
        <v>14</v>
      </c>
      <c r="Q389">
        <v>9</v>
      </c>
      <c r="R38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389" t="s">
        <v>24</v>
      </c>
      <c r="T389">
        <v>41</v>
      </c>
      <c r="U389" s="5">
        <f>MAX(0,MIN(1,1-ABS(supply_chain_data[[#This Row],[Forecast Demand]]-supply_chain_data[[#This Row],[Units Sold]])/supply_chain_data[[#This Row],[Forecast Demand]]))</f>
        <v>0.51219512195121952</v>
      </c>
      <c r="V389" s="4">
        <f>supply_chain_data[[#This Row],[Closing Stock]]/supply_chain_data[[#This Row],[Forecast Demand]]</f>
        <v>1.8292682926829269</v>
      </c>
      <c r="W389">
        <v>33600</v>
      </c>
    </row>
    <row r="390" spans="1:23" hidden="1" x14ac:dyDescent="0.35">
      <c r="A390" t="s">
        <v>25</v>
      </c>
      <c r="B390" t="s">
        <v>26</v>
      </c>
      <c r="C390" t="s">
        <v>20</v>
      </c>
      <c r="D390" t="s">
        <v>37</v>
      </c>
      <c r="E390" t="s">
        <v>46</v>
      </c>
      <c r="F390" t="s">
        <v>23</v>
      </c>
      <c r="G390" s="3">
        <v>45320</v>
      </c>
      <c r="H390">
        <v>136</v>
      </c>
      <c r="I390">
        <v>23</v>
      </c>
      <c r="J390" t="str">
        <f>IF(supply_chain_data[[#This Row],[Units Sold]]&gt;supply_chain_data[[#This Row],[Opening Stock]],"Yes","No")</f>
        <v>No</v>
      </c>
      <c r="K390">
        <v>14</v>
      </c>
      <c r="L390">
        <f>supply_chain_data[[#This Row],[Opening Stock]]+supply_chain_data[[#This Row],[Units Received]]-supply_chain_data[[#This Row],[Units Sold]]</f>
        <v>127</v>
      </c>
      <c r="M390">
        <v>127</v>
      </c>
      <c r="N390">
        <v>86</v>
      </c>
      <c r="O390" s="2">
        <v>1006</v>
      </c>
      <c r="P390">
        <v>15</v>
      </c>
      <c r="Q390">
        <v>5</v>
      </c>
      <c r="R39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90" t="s">
        <v>24</v>
      </c>
      <c r="T390">
        <v>51</v>
      </c>
      <c r="U390" s="5">
        <f>MAX(0,MIN(1,1-ABS(supply_chain_data[[#This Row],[Forecast Demand]]-supply_chain_data[[#This Row],[Units Sold]])/supply_chain_data[[#This Row],[Forecast Demand]]))</f>
        <v>0.4509803921568627</v>
      </c>
      <c r="V390" s="4">
        <f>supply_chain_data[[#This Row],[Closing Stock]]/supply_chain_data[[#This Row],[Forecast Demand]]</f>
        <v>2.4901960784313726</v>
      </c>
      <c r="W390">
        <v>127762</v>
      </c>
    </row>
    <row r="391" spans="1:23" hidden="1" x14ac:dyDescent="0.35">
      <c r="A391" t="s">
        <v>28</v>
      </c>
      <c r="B391" t="s">
        <v>29</v>
      </c>
      <c r="C391" t="s">
        <v>20</v>
      </c>
      <c r="D391" t="s">
        <v>31</v>
      </c>
      <c r="E391" t="s">
        <v>47</v>
      </c>
      <c r="F391" t="s">
        <v>23</v>
      </c>
      <c r="G391" s="3">
        <v>45321</v>
      </c>
      <c r="H391">
        <v>58</v>
      </c>
      <c r="I391">
        <v>28</v>
      </c>
      <c r="J391" t="str">
        <f>IF(supply_chain_data[[#This Row],[Units Sold]]&gt;supply_chain_data[[#This Row],[Opening Stock]],"Yes","No")</f>
        <v>No</v>
      </c>
      <c r="K391">
        <v>49</v>
      </c>
      <c r="L391">
        <f>supply_chain_data[[#This Row],[Opening Stock]]+supply_chain_data[[#This Row],[Units Received]]-supply_chain_data[[#This Row],[Units Sold]]</f>
        <v>79</v>
      </c>
      <c r="M391">
        <v>79</v>
      </c>
      <c r="N391">
        <v>73</v>
      </c>
      <c r="O391" s="2">
        <v>1032</v>
      </c>
      <c r="P391">
        <v>7</v>
      </c>
      <c r="Q391">
        <v>8</v>
      </c>
      <c r="R39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391" t="s">
        <v>24</v>
      </c>
      <c r="T391">
        <v>66</v>
      </c>
      <c r="U391" s="5">
        <f>MAX(0,MIN(1,1-ABS(supply_chain_data[[#This Row],[Forecast Demand]]-supply_chain_data[[#This Row],[Units Sold]])/supply_chain_data[[#This Row],[Forecast Demand]]))</f>
        <v>0.4242424242424242</v>
      </c>
      <c r="V391" s="4">
        <f>supply_chain_data[[#This Row],[Closing Stock]]/supply_chain_data[[#This Row],[Forecast Demand]]</f>
        <v>1.196969696969697</v>
      </c>
      <c r="W391">
        <v>81528</v>
      </c>
    </row>
    <row r="392" spans="1:23" hidden="1" x14ac:dyDescent="0.35">
      <c r="A392" t="s">
        <v>34</v>
      </c>
      <c r="B392" t="s">
        <v>35</v>
      </c>
      <c r="C392" t="s">
        <v>20</v>
      </c>
      <c r="D392" t="s">
        <v>31</v>
      </c>
      <c r="E392" t="s">
        <v>47</v>
      </c>
      <c r="F392" t="s">
        <v>30</v>
      </c>
      <c r="G392" s="3">
        <v>45322</v>
      </c>
      <c r="H392">
        <v>55</v>
      </c>
      <c r="I392">
        <v>41</v>
      </c>
      <c r="J392" t="str">
        <f>IF(supply_chain_data[[#This Row],[Units Sold]]&gt;supply_chain_data[[#This Row],[Opening Stock]],"Yes","No")</f>
        <v>No</v>
      </c>
      <c r="K392">
        <v>20</v>
      </c>
      <c r="L392">
        <f>supply_chain_data[[#This Row],[Opening Stock]]+supply_chain_data[[#This Row],[Units Received]]-supply_chain_data[[#This Row],[Units Sold]]</f>
        <v>34</v>
      </c>
      <c r="M392">
        <v>34</v>
      </c>
      <c r="N392">
        <v>96</v>
      </c>
      <c r="O392" s="2">
        <v>711</v>
      </c>
      <c r="P392">
        <v>13</v>
      </c>
      <c r="Q392">
        <v>5</v>
      </c>
      <c r="R39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392" t="s">
        <v>36</v>
      </c>
      <c r="T392">
        <v>68</v>
      </c>
      <c r="U392" s="5">
        <f>MAX(0,MIN(1,1-ABS(supply_chain_data[[#This Row],[Forecast Demand]]-supply_chain_data[[#This Row],[Units Sold]])/supply_chain_data[[#This Row],[Forecast Demand]]))</f>
        <v>0.60294117647058831</v>
      </c>
      <c r="V392" s="4">
        <f>supply_chain_data[[#This Row],[Closing Stock]]/supply_chain_data[[#This Row],[Forecast Demand]]</f>
        <v>0.5</v>
      </c>
      <c r="W392">
        <v>24174</v>
      </c>
    </row>
    <row r="393" spans="1:23" hidden="1" x14ac:dyDescent="0.35">
      <c r="A393" t="s">
        <v>28</v>
      </c>
      <c r="B393" t="s">
        <v>29</v>
      </c>
      <c r="C393" t="s">
        <v>20</v>
      </c>
      <c r="D393" t="s">
        <v>39</v>
      </c>
      <c r="E393" t="s">
        <v>40</v>
      </c>
      <c r="F393" t="s">
        <v>23</v>
      </c>
      <c r="G393" s="3">
        <v>45323</v>
      </c>
      <c r="H393">
        <v>72</v>
      </c>
      <c r="I393">
        <v>35</v>
      </c>
      <c r="J393" t="str">
        <f>IF(supply_chain_data[[#This Row],[Units Sold]]&gt;supply_chain_data[[#This Row],[Opening Stock]],"Yes","No")</f>
        <v>No</v>
      </c>
      <c r="K393">
        <v>43</v>
      </c>
      <c r="L393">
        <f>supply_chain_data[[#This Row],[Opening Stock]]+supply_chain_data[[#This Row],[Units Received]]-supply_chain_data[[#This Row],[Units Sold]]</f>
        <v>80</v>
      </c>
      <c r="M393">
        <v>80</v>
      </c>
      <c r="N393">
        <v>60</v>
      </c>
      <c r="O393" s="2">
        <v>69</v>
      </c>
      <c r="P393">
        <v>3</v>
      </c>
      <c r="Q393">
        <v>7</v>
      </c>
      <c r="R39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393" t="s">
        <v>24</v>
      </c>
      <c r="T393">
        <v>46</v>
      </c>
      <c r="U393" s="5">
        <f>MAX(0,MIN(1,1-ABS(supply_chain_data[[#This Row],[Forecast Demand]]-supply_chain_data[[#This Row],[Units Sold]])/supply_chain_data[[#This Row],[Forecast Demand]]))</f>
        <v>0.76086956521739135</v>
      </c>
      <c r="V393" s="4">
        <f>supply_chain_data[[#This Row],[Closing Stock]]/supply_chain_data[[#This Row],[Forecast Demand]]</f>
        <v>1.7391304347826086</v>
      </c>
      <c r="W393">
        <v>5520</v>
      </c>
    </row>
    <row r="394" spans="1:23" x14ac:dyDescent="0.35">
      <c r="A394" t="s">
        <v>28</v>
      </c>
      <c r="B394" t="s">
        <v>29</v>
      </c>
      <c r="C394" t="s">
        <v>20</v>
      </c>
      <c r="D394" t="s">
        <v>39</v>
      </c>
      <c r="E394" t="s">
        <v>40</v>
      </c>
      <c r="F394" t="s">
        <v>30</v>
      </c>
      <c r="G394" s="3">
        <v>45324</v>
      </c>
      <c r="H394">
        <v>103</v>
      </c>
      <c r="I394">
        <v>36</v>
      </c>
      <c r="J394" t="str">
        <f>IF(supply_chain_data[[#This Row],[Units Sold]]&gt;supply_chain_data[[#This Row],[Opening Stock]],"Yes","No")</f>
        <v>No</v>
      </c>
      <c r="K394">
        <v>25</v>
      </c>
      <c r="L394">
        <f>supply_chain_data[[#This Row],[Opening Stock]]+supply_chain_data[[#This Row],[Units Received]]-supply_chain_data[[#This Row],[Units Sold]]</f>
        <v>92</v>
      </c>
      <c r="M394">
        <v>92</v>
      </c>
      <c r="N394">
        <v>59</v>
      </c>
      <c r="O394" s="2">
        <v>431</v>
      </c>
      <c r="P394">
        <v>8</v>
      </c>
      <c r="Q394">
        <v>10</v>
      </c>
      <c r="R39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94" t="s">
        <v>24</v>
      </c>
      <c r="T394">
        <v>16</v>
      </c>
      <c r="U394" s="5">
        <f>MAX(0,MIN(1,1-ABS(supply_chain_data[[#This Row],[Forecast Demand]]-supply_chain_data[[#This Row],[Units Sold]])/supply_chain_data[[#This Row],[Forecast Demand]]))</f>
        <v>0</v>
      </c>
      <c r="V394" s="4">
        <f>supply_chain_data[[#This Row],[Closing Stock]]/supply_chain_data[[#This Row],[Forecast Demand]]</f>
        <v>5.75</v>
      </c>
      <c r="W394">
        <v>39652</v>
      </c>
    </row>
    <row r="395" spans="1:23" hidden="1" x14ac:dyDescent="0.35">
      <c r="A395" t="s">
        <v>34</v>
      </c>
      <c r="B395" t="s">
        <v>35</v>
      </c>
      <c r="C395" t="s">
        <v>20</v>
      </c>
      <c r="D395" t="s">
        <v>37</v>
      </c>
      <c r="E395" t="s">
        <v>46</v>
      </c>
      <c r="F395" t="s">
        <v>33</v>
      </c>
      <c r="G395" s="3">
        <v>45325</v>
      </c>
      <c r="H395">
        <v>71</v>
      </c>
      <c r="I395">
        <v>32</v>
      </c>
      <c r="J395" t="str">
        <f>IF(supply_chain_data[[#This Row],[Units Sold]]&gt;supply_chain_data[[#This Row],[Opening Stock]],"Yes","No")</f>
        <v>No</v>
      </c>
      <c r="K395">
        <v>66</v>
      </c>
      <c r="L395">
        <f>supply_chain_data[[#This Row],[Opening Stock]]+supply_chain_data[[#This Row],[Units Received]]-supply_chain_data[[#This Row],[Units Sold]]</f>
        <v>105</v>
      </c>
      <c r="M395">
        <v>105</v>
      </c>
      <c r="N395">
        <v>78</v>
      </c>
      <c r="O395" s="2">
        <v>403</v>
      </c>
      <c r="P395">
        <v>12</v>
      </c>
      <c r="Q395">
        <v>7</v>
      </c>
      <c r="R39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95" t="s">
        <v>24</v>
      </c>
      <c r="T395">
        <v>37</v>
      </c>
      <c r="U395" s="5">
        <f>MAX(0,MIN(1,1-ABS(supply_chain_data[[#This Row],[Forecast Demand]]-supply_chain_data[[#This Row],[Units Sold]])/supply_chain_data[[#This Row],[Forecast Demand]]))</f>
        <v>0.86486486486486491</v>
      </c>
      <c r="V395" s="4">
        <f>supply_chain_data[[#This Row],[Closing Stock]]/supply_chain_data[[#This Row],[Forecast Demand]]</f>
        <v>2.8378378378378377</v>
      </c>
      <c r="W395">
        <v>42315</v>
      </c>
    </row>
    <row r="396" spans="1:23" x14ac:dyDescent="0.35">
      <c r="A396" t="s">
        <v>41</v>
      </c>
      <c r="B396" t="s">
        <v>42</v>
      </c>
      <c r="C396" t="s">
        <v>20</v>
      </c>
      <c r="D396" t="s">
        <v>37</v>
      </c>
      <c r="E396" t="s">
        <v>38</v>
      </c>
      <c r="F396" t="s">
        <v>33</v>
      </c>
      <c r="G396" s="3">
        <v>45326</v>
      </c>
      <c r="H396">
        <v>184</v>
      </c>
      <c r="I396">
        <v>53</v>
      </c>
      <c r="J396" t="str">
        <f>IF(supply_chain_data[[#This Row],[Units Sold]]&gt;supply_chain_data[[#This Row],[Opening Stock]],"Yes","No")</f>
        <v>No</v>
      </c>
      <c r="K396">
        <v>61</v>
      </c>
      <c r="L396">
        <f>supply_chain_data[[#This Row],[Opening Stock]]+supply_chain_data[[#This Row],[Units Received]]-supply_chain_data[[#This Row],[Units Sold]]</f>
        <v>192</v>
      </c>
      <c r="M396">
        <v>192</v>
      </c>
      <c r="N396">
        <v>89</v>
      </c>
      <c r="O396" s="2">
        <v>639</v>
      </c>
      <c r="P396">
        <v>15</v>
      </c>
      <c r="Q396">
        <v>9</v>
      </c>
      <c r="R39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96" t="s">
        <v>24</v>
      </c>
      <c r="T396">
        <v>28</v>
      </c>
      <c r="U396" s="5">
        <f>MAX(0,MIN(1,1-ABS(supply_chain_data[[#This Row],[Forecast Demand]]-supply_chain_data[[#This Row],[Units Sold]])/supply_chain_data[[#This Row],[Forecast Demand]]))</f>
        <v>0.1071428571428571</v>
      </c>
      <c r="V396" s="4">
        <f>supply_chain_data[[#This Row],[Closing Stock]]/supply_chain_data[[#This Row],[Forecast Demand]]</f>
        <v>6.8571428571428568</v>
      </c>
      <c r="W396">
        <v>122688</v>
      </c>
    </row>
    <row r="397" spans="1:23" hidden="1" x14ac:dyDescent="0.35">
      <c r="A397" t="s">
        <v>41</v>
      </c>
      <c r="B397" t="s">
        <v>42</v>
      </c>
      <c r="C397" t="s">
        <v>20</v>
      </c>
      <c r="D397" t="s">
        <v>43</v>
      </c>
      <c r="E397" t="s">
        <v>44</v>
      </c>
      <c r="F397" t="s">
        <v>30</v>
      </c>
      <c r="G397" s="3">
        <v>45327</v>
      </c>
      <c r="H397">
        <v>63</v>
      </c>
      <c r="I397">
        <v>32</v>
      </c>
      <c r="J397" t="str">
        <f>IF(supply_chain_data[[#This Row],[Units Sold]]&gt;supply_chain_data[[#This Row],[Opening Stock]],"Yes","No")</f>
        <v>No</v>
      </c>
      <c r="K397">
        <v>50</v>
      </c>
      <c r="L397">
        <f>supply_chain_data[[#This Row],[Opening Stock]]+supply_chain_data[[#This Row],[Units Received]]-supply_chain_data[[#This Row],[Units Sold]]</f>
        <v>81</v>
      </c>
      <c r="M397">
        <v>81</v>
      </c>
      <c r="N397">
        <v>48</v>
      </c>
      <c r="O397" s="2">
        <v>743</v>
      </c>
      <c r="P397">
        <v>14</v>
      </c>
      <c r="Q397">
        <v>4</v>
      </c>
      <c r="R39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397" t="s">
        <v>24</v>
      </c>
      <c r="T397">
        <v>44</v>
      </c>
      <c r="U397" s="5">
        <f>MAX(0,MIN(1,1-ABS(supply_chain_data[[#This Row],[Forecast Demand]]-supply_chain_data[[#This Row],[Units Sold]])/supply_chain_data[[#This Row],[Forecast Demand]]))</f>
        <v>0.72727272727272729</v>
      </c>
      <c r="V397" s="4">
        <f>supply_chain_data[[#This Row],[Closing Stock]]/supply_chain_data[[#This Row],[Forecast Demand]]</f>
        <v>1.8409090909090908</v>
      </c>
      <c r="W397">
        <v>60183</v>
      </c>
    </row>
    <row r="398" spans="1:23" hidden="1" x14ac:dyDescent="0.35">
      <c r="A398" t="s">
        <v>28</v>
      </c>
      <c r="B398" t="s">
        <v>29</v>
      </c>
      <c r="C398" t="s">
        <v>20</v>
      </c>
      <c r="D398" t="s">
        <v>39</v>
      </c>
      <c r="E398" t="s">
        <v>40</v>
      </c>
      <c r="F398" t="s">
        <v>33</v>
      </c>
      <c r="G398" s="3">
        <v>45328</v>
      </c>
      <c r="H398">
        <v>141</v>
      </c>
      <c r="I398">
        <v>16</v>
      </c>
      <c r="J398" t="str">
        <f>IF(supply_chain_data[[#This Row],[Units Sold]]&gt;supply_chain_data[[#This Row],[Opening Stock]],"Yes","No")</f>
        <v>No</v>
      </c>
      <c r="K398">
        <v>8</v>
      </c>
      <c r="L398">
        <f>supply_chain_data[[#This Row],[Opening Stock]]+supply_chain_data[[#This Row],[Units Received]]-supply_chain_data[[#This Row],[Units Sold]]</f>
        <v>133</v>
      </c>
      <c r="M398">
        <v>133</v>
      </c>
      <c r="N398">
        <v>80</v>
      </c>
      <c r="O398" s="2">
        <v>878</v>
      </c>
      <c r="P398">
        <v>7</v>
      </c>
      <c r="Q398">
        <v>2</v>
      </c>
      <c r="R39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398" t="s">
        <v>24</v>
      </c>
      <c r="T398">
        <v>61</v>
      </c>
      <c r="U398" s="5">
        <f>MAX(0,MIN(1,1-ABS(supply_chain_data[[#This Row],[Forecast Demand]]-supply_chain_data[[#This Row],[Units Sold]])/supply_chain_data[[#This Row],[Forecast Demand]]))</f>
        <v>0.26229508196721307</v>
      </c>
      <c r="V398" s="4">
        <f>supply_chain_data[[#This Row],[Closing Stock]]/supply_chain_data[[#This Row],[Forecast Demand]]</f>
        <v>2.180327868852459</v>
      </c>
      <c r="W398">
        <v>116774</v>
      </c>
    </row>
    <row r="399" spans="1:23" x14ac:dyDescent="0.35">
      <c r="A399" t="s">
        <v>41</v>
      </c>
      <c r="B399" t="s">
        <v>42</v>
      </c>
      <c r="C399" t="s">
        <v>20</v>
      </c>
      <c r="D399" t="s">
        <v>39</v>
      </c>
      <c r="E399" t="s">
        <v>45</v>
      </c>
      <c r="F399" t="s">
        <v>23</v>
      </c>
      <c r="G399" s="3">
        <v>45329</v>
      </c>
      <c r="H399">
        <v>249</v>
      </c>
      <c r="I399">
        <v>37</v>
      </c>
      <c r="J399" t="str">
        <f>IF(supply_chain_data[[#This Row],[Units Sold]]&gt;supply_chain_data[[#This Row],[Opening Stock]],"Yes","No")</f>
        <v>No</v>
      </c>
      <c r="K399">
        <v>47</v>
      </c>
      <c r="L399">
        <f>supply_chain_data[[#This Row],[Opening Stock]]+supply_chain_data[[#This Row],[Units Received]]-supply_chain_data[[#This Row],[Units Sold]]</f>
        <v>259</v>
      </c>
      <c r="M399">
        <v>259</v>
      </c>
      <c r="N399">
        <v>100</v>
      </c>
      <c r="O399" s="2">
        <v>263</v>
      </c>
      <c r="P399">
        <v>7</v>
      </c>
      <c r="Q399">
        <v>4</v>
      </c>
      <c r="R39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399" t="s">
        <v>24</v>
      </c>
      <c r="T399">
        <v>37</v>
      </c>
      <c r="U399" s="5">
        <f>MAX(0,MIN(1,1-ABS(supply_chain_data[[#This Row],[Forecast Demand]]-supply_chain_data[[#This Row],[Units Sold]])/supply_chain_data[[#This Row],[Forecast Demand]]))</f>
        <v>1</v>
      </c>
      <c r="V399" s="4">
        <f>supply_chain_data[[#This Row],[Closing Stock]]/supply_chain_data[[#This Row],[Forecast Demand]]</f>
        <v>7</v>
      </c>
      <c r="W399">
        <v>68117</v>
      </c>
    </row>
    <row r="400" spans="1:23" hidden="1" x14ac:dyDescent="0.35">
      <c r="A400" t="s">
        <v>34</v>
      </c>
      <c r="B400" t="s">
        <v>35</v>
      </c>
      <c r="C400" t="s">
        <v>20</v>
      </c>
      <c r="D400" t="s">
        <v>21</v>
      </c>
      <c r="E400" t="s">
        <v>27</v>
      </c>
      <c r="F400" t="s">
        <v>33</v>
      </c>
      <c r="G400" s="3">
        <v>45330</v>
      </c>
      <c r="H400">
        <v>54</v>
      </c>
      <c r="I400">
        <v>30</v>
      </c>
      <c r="J400" t="str">
        <f>IF(supply_chain_data[[#This Row],[Units Sold]]&gt;supply_chain_data[[#This Row],[Opening Stock]],"Yes","No")</f>
        <v>No</v>
      </c>
      <c r="K400">
        <v>57</v>
      </c>
      <c r="L400">
        <f>supply_chain_data[[#This Row],[Opening Stock]]+supply_chain_data[[#This Row],[Units Received]]-supply_chain_data[[#This Row],[Units Sold]]</f>
        <v>81</v>
      </c>
      <c r="M400">
        <v>81</v>
      </c>
      <c r="N400">
        <v>95</v>
      </c>
      <c r="O400" s="2">
        <v>569</v>
      </c>
      <c r="P400">
        <v>3</v>
      </c>
      <c r="Q400">
        <v>9</v>
      </c>
      <c r="R40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400" t="s">
        <v>36</v>
      </c>
      <c r="T400">
        <v>45</v>
      </c>
      <c r="U400" s="5">
        <f>MAX(0,MIN(1,1-ABS(supply_chain_data[[#This Row],[Forecast Demand]]-supply_chain_data[[#This Row],[Units Sold]])/supply_chain_data[[#This Row],[Forecast Demand]]))</f>
        <v>0.66666666666666674</v>
      </c>
      <c r="V400" s="4">
        <f>supply_chain_data[[#This Row],[Closing Stock]]/supply_chain_data[[#This Row],[Forecast Demand]]</f>
        <v>1.8</v>
      </c>
      <c r="W400">
        <v>46089</v>
      </c>
    </row>
    <row r="401" spans="1:23" hidden="1" x14ac:dyDescent="0.35">
      <c r="A401" t="s">
        <v>18</v>
      </c>
      <c r="B401" t="s">
        <v>19</v>
      </c>
      <c r="C401" t="s">
        <v>20</v>
      </c>
      <c r="D401" t="s">
        <v>21</v>
      </c>
      <c r="E401" t="s">
        <v>27</v>
      </c>
      <c r="F401" t="s">
        <v>30</v>
      </c>
      <c r="G401" s="3">
        <v>45331</v>
      </c>
      <c r="H401">
        <v>62</v>
      </c>
      <c r="I401">
        <v>56</v>
      </c>
      <c r="J401" t="str">
        <f>IF(supply_chain_data[[#This Row],[Units Sold]]&gt;supply_chain_data[[#This Row],[Opening Stock]],"Yes","No")</f>
        <v>No</v>
      </c>
      <c r="K401">
        <v>6</v>
      </c>
      <c r="L401">
        <f>supply_chain_data[[#This Row],[Opening Stock]]+supply_chain_data[[#This Row],[Units Received]]-supply_chain_data[[#This Row],[Units Sold]]</f>
        <v>12</v>
      </c>
      <c r="M401">
        <v>12</v>
      </c>
      <c r="N401">
        <v>67</v>
      </c>
      <c r="O401" s="2">
        <v>886</v>
      </c>
      <c r="P401">
        <v>6</v>
      </c>
      <c r="Q401">
        <v>3</v>
      </c>
      <c r="R40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401" t="s">
        <v>36</v>
      </c>
      <c r="T401">
        <v>35</v>
      </c>
      <c r="U401" s="5">
        <f>MAX(0,MIN(1,1-ABS(supply_chain_data[[#This Row],[Forecast Demand]]-supply_chain_data[[#This Row],[Units Sold]])/supply_chain_data[[#This Row],[Forecast Demand]]))</f>
        <v>0.4</v>
      </c>
      <c r="V401" s="4">
        <f>supply_chain_data[[#This Row],[Closing Stock]]/supply_chain_data[[#This Row],[Forecast Demand]]</f>
        <v>0.34285714285714286</v>
      </c>
      <c r="W401">
        <v>10632</v>
      </c>
    </row>
    <row r="402" spans="1:23" x14ac:dyDescent="0.35">
      <c r="A402" t="s">
        <v>41</v>
      </c>
      <c r="B402" t="s">
        <v>42</v>
      </c>
      <c r="C402" t="s">
        <v>20</v>
      </c>
      <c r="D402" t="s">
        <v>37</v>
      </c>
      <c r="E402" t="s">
        <v>38</v>
      </c>
      <c r="F402" t="s">
        <v>33</v>
      </c>
      <c r="G402" s="3">
        <v>45332</v>
      </c>
      <c r="H402">
        <v>163</v>
      </c>
      <c r="I402">
        <v>43</v>
      </c>
      <c r="J402" t="str">
        <f>IF(supply_chain_data[[#This Row],[Units Sold]]&gt;supply_chain_data[[#This Row],[Opening Stock]],"Yes","No")</f>
        <v>No</v>
      </c>
      <c r="K402">
        <v>58</v>
      </c>
      <c r="L402">
        <f>supply_chain_data[[#This Row],[Opening Stock]]+supply_chain_data[[#This Row],[Units Received]]-supply_chain_data[[#This Row],[Units Sold]]</f>
        <v>178</v>
      </c>
      <c r="M402">
        <v>178</v>
      </c>
      <c r="N402">
        <v>72</v>
      </c>
      <c r="O402" s="2">
        <v>593</v>
      </c>
      <c r="P402">
        <v>10</v>
      </c>
      <c r="Q402">
        <v>9</v>
      </c>
      <c r="R40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02" t="s">
        <v>24</v>
      </c>
      <c r="T402">
        <v>21</v>
      </c>
      <c r="U402" s="5">
        <f>MAX(0,MIN(1,1-ABS(supply_chain_data[[#This Row],[Forecast Demand]]-supply_chain_data[[#This Row],[Units Sold]])/supply_chain_data[[#This Row],[Forecast Demand]]))</f>
        <v>0</v>
      </c>
      <c r="V402" s="4">
        <f>supply_chain_data[[#This Row],[Closing Stock]]/supply_chain_data[[#This Row],[Forecast Demand]]</f>
        <v>8.4761904761904763</v>
      </c>
      <c r="W402">
        <v>105554</v>
      </c>
    </row>
    <row r="403" spans="1:23" hidden="1" x14ac:dyDescent="0.35">
      <c r="A403" t="s">
        <v>41</v>
      </c>
      <c r="B403" t="s">
        <v>42</v>
      </c>
      <c r="C403" t="s">
        <v>20</v>
      </c>
      <c r="D403" t="s">
        <v>37</v>
      </c>
      <c r="E403" t="s">
        <v>46</v>
      </c>
      <c r="F403" t="s">
        <v>33</v>
      </c>
      <c r="G403" s="3">
        <v>45333</v>
      </c>
      <c r="H403">
        <v>179</v>
      </c>
      <c r="I403">
        <v>56</v>
      </c>
      <c r="J403" t="str">
        <f>IF(supply_chain_data[[#This Row],[Units Sold]]&gt;supply_chain_data[[#This Row],[Opening Stock]],"Yes","No")</f>
        <v>No</v>
      </c>
      <c r="K403">
        <v>6</v>
      </c>
      <c r="L403">
        <f>supply_chain_data[[#This Row],[Opening Stock]]+supply_chain_data[[#This Row],[Units Received]]-supply_chain_data[[#This Row],[Units Sold]]</f>
        <v>129</v>
      </c>
      <c r="M403">
        <v>129</v>
      </c>
      <c r="N403">
        <v>58</v>
      </c>
      <c r="O403" s="2">
        <v>1297</v>
      </c>
      <c r="P403">
        <v>10</v>
      </c>
      <c r="Q403">
        <v>9</v>
      </c>
      <c r="R40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03" t="s">
        <v>24</v>
      </c>
      <c r="T403">
        <v>39</v>
      </c>
      <c r="U403" s="5">
        <f>MAX(0,MIN(1,1-ABS(supply_chain_data[[#This Row],[Forecast Demand]]-supply_chain_data[[#This Row],[Units Sold]])/supply_chain_data[[#This Row],[Forecast Demand]]))</f>
        <v>0.5641025641025641</v>
      </c>
      <c r="V403" s="4">
        <f>supply_chain_data[[#This Row],[Closing Stock]]/supply_chain_data[[#This Row],[Forecast Demand]]</f>
        <v>3.3076923076923075</v>
      </c>
      <c r="W403">
        <v>167313</v>
      </c>
    </row>
    <row r="404" spans="1:23" x14ac:dyDescent="0.35">
      <c r="A404" t="s">
        <v>28</v>
      </c>
      <c r="B404" t="s">
        <v>29</v>
      </c>
      <c r="C404" t="s">
        <v>20</v>
      </c>
      <c r="D404" t="s">
        <v>21</v>
      </c>
      <c r="E404" t="s">
        <v>27</v>
      </c>
      <c r="F404" t="s">
        <v>33</v>
      </c>
      <c r="G404" s="3">
        <v>45334</v>
      </c>
      <c r="H404">
        <v>291</v>
      </c>
      <c r="I404">
        <v>13</v>
      </c>
      <c r="J404" t="str">
        <f>IF(supply_chain_data[[#This Row],[Units Sold]]&gt;supply_chain_data[[#This Row],[Opening Stock]],"Yes","No")</f>
        <v>No</v>
      </c>
      <c r="K404">
        <v>14</v>
      </c>
      <c r="L404">
        <f>supply_chain_data[[#This Row],[Opening Stock]]+supply_chain_data[[#This Row],[Units Received]]-supply_chain_data[[#This Row],[Units Sold]]</f>
        <v>292</v>
      </c>
      <c r="M404">
        <v>292</v>
      </c>
      <c r="N404">
        <v>76</v>
      </c>
      <c r="O404" s="2">
        <v>88</v>
      </c>
      <c r="P404">
        <v>6</v>
      </c>
      <c r="Q404">
        <v>10</v>
      </c>
      <c r="R40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04" t="s">
        <v>24</v>
      </c>
      <c r="T404">
        <v>48</v>
      </c>
      <c r="U404" s="5">
        <f>MAX(0,MIN(1,1-ABS(supply_chain_data[[#This Row],[Forecast Demand]]-supply_chain_data[[#This Row],[Units Sold]])/supply_chain_data[[#This Row],[Forecast Demand]]))</f>
        <v>0.27083333333333337</v>
      </c>
      <c r="V404" s="4">
        <f>supply_chain_data[[#This Row],[Closing Stock]]/supply_chain_data[[#This Row],[Forecast Demand]]</f>
        <v>6.083333333333333</v>
      </c>
      <c r="W404">
        <v>25696</v>
      </c>
    </row>
    <row r="405" spans="1:23" x14ac:dyDescent="0.35">
      <c r="A405" t="s">
        <v>41</v>
      </c>
      <c r="B405" t="s">
        <v>42</v>
      </c>
      <c r="C405" t="s">
        <v>20</v>
      </c>
      <c r="D405" t="s">
        <v>39</v>
      </c>
      <c r="E405" t="s">
        <v>40</v>
      </c>
      <c r="F405" t="s">
        <v>33</v>
      </c>
      <c r="G405" s="3">
        <v>45335</v>
      </c>
      <c r="H405">
        <v>179</v>
      </c>
      <c r="I405">
        <v>47</v>
      </c>
      <c r="J405" t="str">
        <f>IF(supply_chain_data[[#This Row],[Units Sold]]&gt;supply_chain_data[[#This Row],[Opening Stock]],"Yes","No")</f>
        <v>No</v>
      </c>
      <c r="K405">
        <v>28</v>
      </c>
      <c r="L405">
        <f>supply_chain_data[[#This Row],[Opening Stock]]+supply_chain_data[[#This Row],[Units Received]]-supply_chain_data[[#This Row],[Units Sold]]</f>
        <v>160</v>
      </c>
      <c r="M405">
        <v>160</v>
      </c>
      <c r="N405">
        <v>46</v>
      </c>
      <c r="O405" s="2">
        <v>1208</v>
      </c>
      <c r="P405">
        <v>12</v>
      </c>
      <c r="Q405">
        <v>4</v>
      </c>
      <c r="R40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05" t="s">
        <v>24</v>
      </c>
      <c r="T405">
        <v>36</v>
      </c>
      <c r="U405" s="5">
        <f>MAX(0,MIN(1,1-ABS(supply_chain_data[[#This Row],[Forecast Demand]]-supply_chain_data[[#This Row],[Units Sold]])/supply_chain_data[[#This Row],[Forecast Demand]]))</f>
        <v>0.69444444444444442</v>
      </c>
      <c r="V405" s="4">
        <f>supply_chain_data[[#This Row],[Closing Stock]]/supply_chain_data[[#This Row],[Forecast Demand]]</f>
        <v>4.4444444444444446</v>
      </c>
      <c r="W405">
        <v>193280</v>
      </c>
    </row>
    <row r="406" spans="1:23" hidden="1" x14ac:dyDescent="0.35">
      <c r="A406" t="s">
        <v>18</v>
      </c>
      <c r="B406" t="s">
        <v>19</v>
      </c>
      <c r="C406" t="s">
        <v>20</v>
      </c>
      <c r="D406" t="s">
        <v>21</v>
      </c>
      <c r="E406" t="s">
        <v>22</v>
      </c>
      <c r="F406" t="s">
        <v>33</v>
      </c>
      <c r="G406" s="3">
        <v>45336</v>
      </c>
      <c r="H406">
        <v>152</v>
      </c>
      <c r="I406">
        <v>21</v>
      </c>
      <c r="J406" t="str">
        <f>IF(supply_chain_data[[#This Row],[Units Sold]]&gt;supply_chain_data[[#This Row],[Opening Stock]],"Yes","No")</f>
        <v>No</v>
      </c>
      <c r="K406">
        <v>13</v>
      </c>
      <c r="L406">
        <f>supply_chain_data[[#This Row],[Opening Stock]]+supply_chain_data[[#This Row],[Units Received]]-supply_chain_data[[#This Row],[Units Sold]]</f>
        <v>144</v>
      </c>
      <c r="M406">
        <v>144</v>
      </c>
      <c r="N406">
        <v>90</v>
      </c>
      <c r="O406" s="2">
        <v>1291</v>
      </c>
      <c r="P406">
        <v>10</v>
      </c>
      <c r="Q406">
        <v>5</v>
      </c>
      <c r="R40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06" t="s">
        <v>24</v>
      </c>
      <c r="T406">
        <v>49</v>
      </c>
      <c r="U406" s="5">
        <f>MAX(0,MIN(1,1-ABS(supply_chain_data[[#This Row],[Forecast Demand]]-supply_chain_data[[#This Row],[Units Sold]])/supply_chain_data[[#This Row],[Forecast Demand]]))</f>
        <v>0.4285714285714286</v>
      </c>
      <c r="V406" s="4">
        <f>supply_chain_data[[#This Row],[Closing Stock]]/supply_chain_data[[#This Row],[Forecast Demand]]</f>
        <v>2.9387755102040818</v>
      </c>
      <c r="W406">
        <v>185904</v>
      </c>
    </row>
    <row r="407" spans="1:23" x14ac:dyDescent="0.35">
      <c r="A407" t="s">
        <v>34</v>
      </c>
      <c r="B407" t="s">
        <v>35</v>
      </c>
      <c r="C407" t="s">
        <v>20</v>
      </c>
      <c r="D407" t="s">
        <v>39</v>
      </c>
      <c r="E407" t="s">
        <v>40</v>
      </c>
      <c r="F407" t="s">
        <v>23</v>
      </c>
      <c r="G407" s="3">
        <v>45337</v>
      </c>
      <c r="H407">
        <v>137</v>
      </c>
      <c r="I407">
        <v>57</v>
      </c>
      <c r="J407" t="str">
        <f>IF(supply_chain_data[[#This Row],[Units Sold]]&gt;supply_chain_data[[#This Row],[Opening Stock]],"Yes","No")</f>
        <v>No</v>
      </c>
      <c r="K407">
        <v>45</v>
      </c>
      <c r="L407">
        <f>supply_chain_data[[#This Row],[Opening Stock]]+supply_chain_data[[#This Row],[Units Received]]-supply_chain_data[[#This Row],[Units Sold]]</f>
        <v>125</v>
      </c>
      <c r="M407">
        <v>125</v>
      </c>
      <c r="N407">
        <v>46</v>
      </c>
      <c r="O407" s="2">
        <v>887</v>
      </c>
      <c r="P407">
        <v>13</v>
      </c>
      <c r="Q407">
        <v>9</v>
      </c>
      <c r="R40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07" t="s">
        <v>24</v>
      </c>
      <c r="T407">
        <v>22</v>
      </c>
      <c r="U407" s="5">
        <f>MAX(0,MIN(1,1-ABS(supply_chain_data[[#This Row],[Forecast Demand]]-supply_chain_data[[#This Row],[Units Sold]])/supply_chain_data[[#This Row],[Forecast Demand]]))</f>
        <v>0</v>
      </c>
      <c r="V407" s="4">
        <f>supply_chain_data[[#This Row],[Closing Stock]]/supply_chain_data[[#This Row],[Forecast Demand]]</f>
        <v>5.6818181818181817</v>
      </c>
      <c r="W407">
        <v>110875</v>
      </c>
    </row>
    <row r="408" spans="1:23" hidden="1" x14ac:dyDescent="0.35">
      <c r="A408" t="s">
        <v>18</v>
      </c>
      <c r="B408" t="s">
        <v>19</v>
      </c>
      <c r="C408" t="s">
        <v>20</v>
      </c>
      <c r="D408" t="s">
        <v>39</v>
      </c>
      <c r="E408" t="s">
        <v>40</v>
      </c>
      <c r="F408" t="s">
        <v>30</v>
      </c>
      <c r="G408" s="3">
        <v>45338</v>
      </c>
      <c r="H408">
        <v>237</v>
      </c>
      <c r="I408">
        <v>29</v>
      </c>
      <c r="J408" t="str">
        <f>IF(supply_chain_data[[#This Row],[Units Sold]]&gt;supply_chain_data[[#This Row],[Opening Stock]],"Yes","No")</f>
        <v>No</v>
      </c>
      <c r="K408">
        <v>21</v>
      </c>
      <c r="L408">
        <f>supply_chain_data[[#This Row],[Opening Stock]]+supply_chain_data[[#This Row],[Units Received]]-supply_chain_data[[#This Row],[Units Sold]]</f>
        <v>229</v>
      </c>
      <c r="M408">
        <v>229</v>
      </c>
      <c r="N408">
        <v>98</v>
      </c>
      <c r="O408" s="2">
        <v>455</v>
      </c>
      <c r="P408">
        <v>12</v>
      </c>
      <c r="Q408">
        <v>0</v>
      </c>
      <c r="R40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08" t="s">
        <v>24</v>
      </c>
      <c r="T408">
        <v>64</v>
      </c>
      <c r="U408" s="5">
        <f>MAX(0,MIN(1,1-ABS(supply_chain_data[[#This Row],[Forecast Demand]]-supply_chain_data[[#This Row],[Units Sold]])/supply_chain_data[[#This Row],[Forecast Demand]]))</f>
        <v>0.453125</v>
      </c>
      <c r="V408" s="4">
        <f>supply_chain_data[[#This Row],[Closing Stock]]/supply_chain_data[[#This Row],[Forecast Demand]]</f>
        <v>3.578125</v>
      </c>
      <c r="W408">
        <v>104195</v>
      </c>
    </row>
    <row r="409" spans="1:23" hidden="1" x14ac:dyDescent="0.35">
      <c r="A409" t="s">
        <v>28</v>
      </c>
      <c r="B409" t="s">
        <v>29</v>
      </c>
      <c r="C409" t="s">
        <v>20</v>
      </c>
      <c r="D409" t="s">
        <v>37</v>
      </c>
      <c r="E409" t="s">
        <v>46</v>
      </c>
      <c r="F409" t="s">
        <v>33</v>
      </c>
      <c r="G409" s="3">
        <v>45339</v>
      </c>
      <c r="H409">
        <v>140</v>
      </c>
      <c r="I409">
        <v>38</v>
      </c>
      <c r="J409" t="str">
        <f>IF(supply_chain_data[[#This Row],[Units Sold]]&gt;supply_chain_data[[#This Row],[Opening Stock]],"Yes","No")</f>
        <v>No</v>
      </c>
      <c r="K409">
        <v>14</v>
      </c>
      <c r="L409">
        <f>supply_chain_data[[#This Row],[Opening Stock]]+supply_chain_data[[#This Row],[Units Received]]-supply_chain_data[[#This Row],[Units Sold]]</f>
        <v>116</v>
      </c>
      <c r="M409">
        <v>116</v>
      </c>
      <c r="N409">
        <v>97</v>
      </c>
      <c r="O409" s="2">
        <v>1336</v>
      </c>
      <c r="P409">
        <v>7</v>
      </c>
      <c r="Q409">
        <v>5</v>
      </c>
      <c r="R40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09" t="s">
        <v>24</v>
      </c>
      <c r="T409">
        <v>52</v>
      </c>
      <c r="U409" s="5">
        <f>MAX(0,MIN(1,1-ABS(supply_chain_data[[#This Row],[Forecast Demand]]-supply_chain_data[[#This Row],[Units Sold]])/supply_chain_data[[#This Row],[Forecast Demand]]))</f>
        <v>0.73076923076923084</v>
      </c>
      <c r="V409" s="4">
        <f>supply_chain_data[[#This Row],[Closing Stock]]/supply_chain_data[[#This Row],[Forecast Demand]]</f>
        <v>2.2307692307692308</v>
      </c>
      <c r="W409">
        <v>154976</v>
      </c>
    </row>
    <row r="410" spans="1:23" hidden="1" x14ac:dyDescent="0.35">
      <c r="A410" t="s">
        <v>25</v>
      </c>
      <c r="B410" t="s">
        <v>26</v>
      </c>
      <c r="C410" t="s">
        <v>20</v>
      </c>
      <c r="D410" t="s">
        <v>43</v>
      </c>
      <c r="E410" t="s">
        <v>48</v>
      </c>
      <c r="F410" t="s">
        <v>30</v>
      </c>
      <c r="G410" s="3">
        <v>45340</v>
      </c>
      <c r="H410">
        <v>114</v>
      </c>
      <c r="I410">
        <v>39</v>
      </c>
      <c r="J410" t="str">
        <f>IF(supply_chain_data[[#This Row],[Units Sold]]&gt;supply_chain_data[[#This Row],[Opening Stock]],"Yes","No")</f>
        <v>No</v>
      </c>
      <c r="K410">
        <v>31</v>
      </c>
      <c r="L410">
        <f>supply_chain_data[[#This Row],[Opening Stock]]+supply_chain_data[[#This Row],[Units Received]]-supply_chain_data[[#This Row],[Units Sold]]</f>
        <v>106</v>
      </c>
      <c r="M410">
        <v>106</v>
      </c>
      <c r="N410">
        <v>91</v>
      </c>
      <c r="O410" s="2">
        <v>202</v>
      </c>
      <c r="P410">
        <v>3</v>
      </c>
      <c r="Q410">
        <v>7</v>
      </c>
      <c r="R41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410" t="s">
        <v>24</v>
      </c>
      <c r="T410">
        <v>64</v>
      </c>
      <c r="U410" s="5">
        <f>MAX(0,MIN(1,1-ABS(supply_chain_data[[#This Row],[Forecast Demand]]-supply_chain_data[[#This Row],[Units Sold]])/supply_chain_data[[#This Row],[Forecast Demand]]))</f>
        <v>0.609375</v>
      </c>
      <c r="V410" s="4">
        <f>supply_chain_data[[#This Row],[Closing Stock]]/supply_chain_data[[#This Row],[Forecast Demand]]</f>
        <v>1.65625</v>
      </c>
      <c r="W410">
        <v>21412</v>
      </c>
    </row>
    <row r="411" spans="1:23" x14ac:dyDescent="0.35">
      <c r="A411" t="s">
        <v>28</v>
      </c>
      <c r="B411" t="s">
        <v>29</v>
      </c>
      <c r="C411" t="s">
        <v>20</v>
      </c>
      <c r="D411" t="s">
        <v>31</v>
      </c>
      <c r="E411" t="s">
        <v>32</v>
      </c>
      <c r="F411" t="s">
        <v>23</v>
      </c>
      <c r="G411" s="3">
        <v>45341</v>
      </c>
      <c r="H411">
        <v>69</v>
      </c>
      <c r="I411">
        <v>18</v>
      </c>
      <c r="J411" t="str">
        <f>IF(supply_chain_data[[#This Row],[Units Sold]]&gt;supply_chain_data[[#This Row],[Opening Stock]],"Yes","No")</f>
        <v>No</v>
      </c>
      <c r="K411">
        <v>62</v>
      </c>
      <c r="L411">
        <f>supply_chain_data[[#This Row],[Opening Stock]]+supply_chain_data[[#This Row],[Units Received]]-supply_chain_data[[#This Row],[Units Sold]]</f>
        <v>113</v>
      </c>
      <c r="M411">
        <v>113</v>
      </c>
      <c r="N411">
        <v>56</v>
      </c>
      <c r="O411" s="2">
        <v>928</v>
      </c>
      <c r="P411">
        <v>7</v>
      </c>
      <c r="Q411">
        <v>7</v>
      </c>
      <c r="R41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11" t="s">
        <v>24</v>
      </c>
      <c r="T411">
        <v>19</v>
      </c>
      <c r="U411" s="5">
        <f>MAX(0,MIN(1,1-ABS(supply_chain_data[[#This Row],[Forecast Demand]]-supply_chain_data[[#This Row],[Units Sold]])/supply_chain_data[[#This Row],[Forecast Demand]]))</f>
        <v>0.94736842105263164</v>
      </c>
      <c r="V411" s="4">
        <f>supply_chain_data[[#This Row],[Closing Stock]]/supply_chain_data[[#This Row],[Forecast Demand]]</f>
        <v>5.9473684210526319</v>
      </c>
      <c r="W411">
        <v>104864</v>
      </c>
    </row>
    <row r="412" spans="1:23" hidden="1" x14ac:dyDescent="0.35">
      <c r="A412" t="s">
        <v>34</v>
      </c>
      <c r="B412" t="s">
        <v>35</v>
      </c>
      <c r="C412" t="s">
        <v>20</v>
      </c>
      <c r="D412" t="s">
        <v>31</v>
      </c>
      <c r="E412" t="s">
        <v>47</v>
      </c>
      <c r="F412" t="s">
        <v>30</v>
      </c>
      <c r="G412" s="3">
        <v>45342</v>
      </c>
      <c r="H412">
        <v>146</v>
      </c>
      <c r="I412">
        <v>28</v>
      </c>
      <c r="J412" t="str">
        <f>IF(supply_chain_data[[#This Row],[Units Sold]]&gt;supply_chain_data[[#This Row],[Opening Stock]],"Yes","No")</f>
        <v>No</v>
      </c>
      <c r="K412">
        <v>74</v>
      </c>
      <c r="L412">
        <f>supply_chain_data[[#This Row],[Opening Stock]]+supply_chain_data[[#This Row],[Units Received]]-supply_chain_data[[#This Row],[Units Sold]]</f>
        <v>192</v>
      </c>
      <c r="M412">
        <v>192</v>
      </c>
      <c r="N412">
        <v>92</v>
      </c>
      <c r="O412" s="2">
        <v>761</v>
      </c>
      <c r="P412">
        <v>12</v>
      </c>
      <c r="Q412">
        <v>9</v>
      </c>
      <c r="R41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12" t="s">
        <v>24</v>
      </c>
      <c r="T412">
        <v>58</v>
      </c>
      <c r="U412" s="5">
        <f>MAX(0,MIN(1,1-ABS(supply_chain_data[[#This Row],[Forecast Demand]]-supply_chain_data[[#This Row],[Units Sold]])/supply_chain_data[[#This Row],[Forecast Demand]]))</f>
        <v>0.48275862068965514</v>
      </c>
      <c r="V412" s="4">
        <f>supply_chain_data[[#This Row],[Closing Stock]]/supply_chain_data[[#This Row],[Forecast Demand]]</f>
        <v>3.3103448275862069</v>
      </c>
      <c r="W412">
        <v>146112</v>
      </c>
    </row>
    <row r="413" spans="1:23" x14ac:dyDescent="0.35">
      <c r="A413" t="s">
        <v>25</v>
      </c>
      <c r="B413" t="s">
        <v>26</v>
      </c>
      <c r="C413" t="s">
        <v>20</v>
      </c>
      <c r="D413" t="s">
        <v>31</v>
      </c>
      <c r="E413" t="s">
        <v>32</v>
      </c>
      <c r="F413" t="s">
        <v>30</v>
      </c>
      <c r="G413" s="3">
        <v>45343</v>
      </c>
      <c r="H413">
        <v>225</v>
      </c>
      <c r="I413">
        <v>51</v>
      </c>
      <c r="J413" t="str">
        <f>IF(supply_chain_data[[#This Row],[Units Sold]]&gt;supply_chain_data[[#This Row],[Opening Stock]],"Yes","No")</f>
        <v>No</v>
      </c>
      <c r="K413">
        <v>37</v>
      </c>
      <c r="L413">
        <f>supply_chain_data[[#This Row],[Opening Stock]]+supply_chain_data[[#This Row],[Units Received]]-supply_chain_data[[#This Row],[Units Sold]]</f>
        <v>211</v>
      </c>
      <c r="M413">
        <v>211</v>
      </c>
      <c r="N413">
        <v>64</v>
      </c>
      <c r="O413" s="2">
        <v>720</v>
      </c>
      <c r="P413">
        <v>10</v>
      </c>
      <c r="Q413">
        <v>10</v>
      </c>
      <c r="R41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13" t="s">
        <v>24</v>
      </c>
      <c r="T413">
        <v>49</v>
      </c>
      <c r="U413" s="5">
        <f>MAX(0,MIN(1,1-ABS(supply_chain_data[[#This Row],[Forecast Demand]]-supply_chain_data[[#This Row],[Units Sold]])/supply_chain_data[[#This Row],[Forecast Demand]]))</f>
        <v>0.95918367346938771</v>
      </c>
      <c r="V413" s="4">
        <f>supply_chain_data[[#This Row],[Closing Stock]]/supply_chain_data[[#This Row],[Forecast Demand]]</f>
        <v>4.3061224489795915</v>
      </c>
      <c r="W413">
        <v>151920</v>
      </c>
    </row>
    <row r="414" spans="1:23" hidden="1" x14ac:dyDescent="0.35">
      <c r="A414" t="s">
        <v>41</v>
      </c>
      <c r="B414" t="s">
        <v>42</v>
      </c>
      <c r="C414" t="s">
        <v>20</v>
      </c>
      <c r="D414" t="s">
        <v>37</v>
      </c>
      <c r="E414" t="s">
        <v>38</v>
      </c>
      <c r="F414" t="s">
        <v>30</v>
      </c>
      <c r="G414" s="3">
        <v>45344</v>
      </c>
      <c r="H414">
        <v>232</v>
      </c>
      <c r="I414">
        <v>39</v>
      </c>
      <c r="J414" t="str">
        <f>IF(supply_chain_data[[#This Row],[Units Sold]]&gt;supply_chain_data[[#This Row],[Opening Stock]],"Yes","No")</f>
        <v>No</v>
      </c>
      <c r="K414">
        <v>55</v>
      </c>
      <c r="L414">
        <f>supply_chain_data[[#This Row],[Opening Stock]]+supply_chain_data[[#This Row],[Units Received]]-supply_chain_data[[#This Row],[Units Sold]]</f>
        <v>248</v>
      </c>
      <c r="M414">
        <v>248</v>
      </c>
      <c r="N414">
        <v>98</v>
      </c>
      <c r="O414" s="2">
        <v>503</v>
      </c>
      <c r="P414">
        <v>8</v>
      </c>
      <c r="Q414">
        <v>8</v>
      </c>
      <c r="R41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14" t="s">
        <v>24</v>
      </c>
      <c r="T414">
        <v>67</v>
      </c>
      <c r="U414" s="5">
        <f>MAX(0,MIN(1,1-ABS(supply_chain_data[[#This Row],[Forecast Demand]]-supply_chain_data[[#This Row],[Units Sold]])/supply_chain_data[[#This Row],[Forecast Demand]]))</f>
        <v>0.58208955223880599</v>
      </c>
      <c r="V414" s="4">
        <f>supply_chain_data[[#This Row],[Closing Stock]]/supply_chain_data[[#This Row],[Forecast Demand]]</f>
        <v>3.7014925373134329</v>
      </c>
      <c r="W414">
        <v>124744</v>
      </c>
    </row>
    <row r="415" spans="1:23" hidden="1" x14ac:dyDescent="0.35">
      <c r="A415" t="s">
        <v>41</v>
      </c>
      <c r="B415" t="s">
        <v>42</v>
      </c>
      <c r="C415" t="s">
        <v>20</v>
      </c>
      <c r="D415" t="s">
        <v>31</v>
      </c>
      <c r="E415" t="s">
        <v>47</v>
      </c>
      <c r="F415" t="s">
        <v>23</v>
      </c>
      <c r="G415" s="3">
        <v>45345</v>
      </c>
      <c r="H415">
        <v>50</v>
      </c>
      <c r="I415">
        <v>11</v>
      </c>
      <c r="J415" t="str">
        <f>IF(supply_chain_data[[#This Row],[Units Sold]]&gt;supply_chain_data[[#This Row],[Opening Stock]],"Yes","No")</f>
        <v>No</v>
      </c>
      <c r="K415">
        <v>23</v>
      </c>
      <c r="L415">
        <f>supply_chain_data[[#This Row],[Opening Stock]]+supply_chain_data[[#This Row],[Units Received]]-supply_chain_data[[#This Row],[Units Sold]]</f>
        <v>62</v>
      </c>
      <c r="M415">
        <v>62</v>
      </c>
      <c r="N415">
        <v>62</v>
      </c>
      <c r="O415" s="2">
        <v>693</v>
      </c>
      <c r="P415">
        <v>15</v>
      </c>
      <c r="Q415">
        <v>6</v>
      </c>
      <c r="R41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415" t="s">
        <v>36</v>
      </c>
      <c r="T415">
        <v>34</v>
      </c>
      <c r="U415" s="5">
        <f>MAX(0,MIN(1,1-ABS(supply_chain_data[[#This Row],[Forecast Demand]]-supply_chain_data[[#This Row],[Units Sold]])/supply_chain_data[[#This Row],[Forecast Demand]]))</f>
        <v>0.32352941176470584</v>
      </c>
      <c r="V415" s="4">
        <f>supply_chain_data[[#This Row],[Closing Stock]]/supply_chain_data[[#This Row],[Forecast Demand]]</f>
        <v>1.8235294117647058</v>
      </c>
      <c r="W415">
        <v>42966</v>
      </c>
    </row>
    <row r="416" spans="1:23" hidden="1" x14ac:dyDescent="0.35">
      <c r="A416" t="s">
        <v>18</v>
      </c>
      <c r="B416" t="s">
        <v>19</v>
      </c>
      <c r="C416" t="s">
        <v>20</v>
      </c>
      <c r="D416" t="s">
        <v>43</v>
      </c>
      <c r="E416" t="s">
        <v>44</v>
      </c>
      <c r="F416" t="s">
        <v>30</v>
      </c>
      <c r="G416" s="3">
        <v>45346</v>
      </c>
      <c r="H416">
        <v>97</v>
      </c>
      <c r="I416">
        <v>53</v>
      </c>
      <c r="J416" t="str">
        <f>IF(supply_chain_data[[#This Row],[Units Sold]]&gt;supply_chain_data[[#This Row],[Opening Stock]],"Yes","No")</f>
        <v>No</v>
      </c>
      <c r="K416">
        <v>40</v>
      </c>
      <c r="L416">
        <f>supply_chain_data[[#This Row],[Opening Stock]]+supply_chain_data[[#This Row],[Units Received]]-supply_chain_data[[#This Row],[Units Sold]]</f>
        <v>84</v>
      </c>
      <c r="M416">
        <v>84</v>
      </c>
      <c r="N416">
        <v>76</v>
      </c>
      <c r="O416" s="2">
        <v>1056</v>
      </c>
      <c r="P416">
        <v>14</v>
      </c>
      <c r="Q416">
        <v>5</v>
      </c>
      <c r="R41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416" t="s">
        <v>24</v>
      </c>
      <c r="T416">
        <v>50</v>
      </c>
      <c r="U416" s="5">
        <f>MAX(0,MIN(1,1-ABS(supply_chain_data[[#This Row],[Forecast Demand]]-supply_chain_data[[#This Row],[Units Sold]])/supply_chain_data[[#This Row],[Forecast Demand]]))</f>
        <v>0.94</v>
      </c>
      <c r="V416" s="4">
        <f>supply_chain_data[[#This Row],[Closing Stock]]/supply_chain_data[[#This Row],[Forecast Demand]]</f>
        <v>1.68</v>
      </c>
      <c r="W416">
        <v>88704</v>
      </c>
    </row>
    <row r="417" spans="1:23" x14ac:dyDescent="0.35">
      <c r="A417" t="s">
        <v>41</v>
      </c>
      <c r="B417" t="s">
        <v>42</v>
      </c>
      <c r="C417" t="s">
        <v>20</v>
      </c>
      <c r="D417" t="s">
        <v>37</v>
      </c>
      <c r="E417" t="s">
        <v>38</v>
      </c>
      <c r="F417" t="s">
        <v>23</v>
      </c>
      <c r="G417" s="3">
        <v>45347</v>
      </c>
      <c r="H417">
        <v>190</v>
      </c>
      <c r="I417">
        <v>36</v>
      </c>
      <c r="J417" t="str">
        <f>IF(supply_chain_data[[#This Row],[Units Sold]]&gt;supply_chain_data[[#This Row],[Opening Stock]],"Yes","No")</f>
        <v>No</v>
      </c>
      <c r="K417">
        <v>55</v>
      </c>
      <c r="L417">
        <f>supply_chain_data[[#This Row],[Opening Stock]]+supply_chain_data[[#This Row],[Units Received]]-supply_chain_data[[#This Row],[Units Sold]]</f>
        <v>209</v>
      </c>
      <c r="M417">
        <v>209</v>
      </c>
      <c r="N417">
        <v>73</v>
      </c>
      <c r="O417" s="2">
        <v>1484</v>
      </c>
      <c r="P417">
        <v>5</v>
      </c>
      <c r="Q417">
        <v>3</v>
      </c>
      <c r="R41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17" t="s">
        <v>24</v>
      </c>
      <c r="T417">
        <v>29</v>
      </c>
      <c r="U417" s="5">
        <f>MAX(0,MIN(1,1-ABS(supply_chain_data[[#This Row],[Forecast Demand]]-supply_chain_data[[#This Row],[Units Sold]])/supply_chain_data[[#This Row],[Forecast Demand]]))</f>
        <v>0.75862068965517238</v>
      </c>
      <c r="V417" s="4">
        <f>supply_chain_data[[#This Row],[Closing Stock]]/supply_chain_data[[#This Row],[Forecast Demand]]</f>
        <v>7.2068965517241379</v>
      </c>
      <c r="W417">
        <v>310156</v>
      </c>
    </row>
    <row r="418" spans="1:23" hidden="1" x14ac:dyDescent="0.35">
      <c r="A418" t="s">
        <v>41</v>
      </c>
      <c r="B418" t="s">
        <v>42</v>
      </c>
      <c r="C418" t="s">
        <v>20</v>
      </c>
      <c r="D418" t="s">
        <v>43</v>
      </c>
      <c r="E418" t="s">
        <v>44</v>
      </c>
      <c r="F418" t="s">
        <v>30</v>
      </c>
      <c r="G418" s="3">
        <v>45348</v>
      </c>
      <c r="H418">
        <v>115</v>
      </c>
      <c r="I418">
        <v>14</v>
      </c>
      <c r="J418" t="str">
        <f>IF(supply_chain_data[[#This Row],[Units Sold]]&gt;supply_chain_data[[#This Row],[Opening Stock]],"Yes","No")</f>
        <v>No</v>
      </c>
      <c r="K418">
        <v>45</v>
      </c>
      <c r="L418">
        <f>supply_chain_data[[#This Row],[Opening Stock]]+supply_chain_data[[#This Row],[Units Received]]-supply_chain_data[[#This Row],[Units Sold]]</f>
        <v>146</v>
      </c>
      <c r="M418">
        <v>146</v>
      </c>
      <c r="N418">
        <v>67</v>
      </c>
      <c r="O418" s="2">
        <v>647</v>
      </c>
      <c r="P418">
        <v>14</v>
      </c>
      <c r="Q418">
        <v>4</v>
      </c>
      <c r="R41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18" t="s">
        <v>24</v>
      </c>
      <c r="T418">
        <v>57</v>
      </c>
      <c r="U418" s="5">
        <f>MAX(0,MIN(1,1-ABS(supply_chain_data[[#This Row],[Forecast Demand]]-supply_chain_data[[#This Row],[Units Sold]])/supply_chain_data[[#This Row],[Forecast Demand]]))</f>
        <v>0.24561403508771928</v>
      </c>
      <c r="V418" s="4">
        <f>supply_chain_data[[#This Row],[Closing Stock]]/supply_chain_data[[#This Row],[Forecast Demand]]</f>
        <v>2.5614035087719298</v>
      </c>
      <c r="W418">
        <v>94462</v>
      </c>
    </row>
    <row r="419" spans="1:23" x14ac:dyDescent="0.35">
      <c r="A419" t="s">
        <v>41</v>
      </c>
      <c r="B419" t="s">
        <v>42</v>
      </c>
      <c r="C419" t="s">
        <v>20</v>
      </c>
      <c r="D419" t="s">
        <v>43</v>
      </c>
      <c r="E419" t="s">
        <v>44</v>
      </c>
      <c r="F419" t="s">
        <v>33</v>
      </c>
      <c r="G419" s="3">
        <v>45349</v>
      </c>
      <c r="H419">
        <v>296</v>
      </c>
      <c r="I419">
        <v>11</v>
      </c>
      <c r="J419" t="str">
        <f>IF(supply_chain_data[[#This Row],[Units Sold]]&gt;supply_chain_data[[#This Row],[Opening Stock]],"Yes","No")</f>
        <v>No</v>
      </c>
      <c r="K419">
        <v>25</v>
      </c>
      <c r="L419">
        <f>supply_chain_data[[#This Row],[Opening Stock]]+supply_chain_data[[#This Row],[Units Received]]-supply_chain_data[[#This Row],[Units Sold]]</f>
        <v>310</v>
      </c>
      <c r="M419">
        <v>310</v>
      </c>
      <c r="N419">
        <v>90</v>
      </c>
      <c r="O419" s="2">
        <v>247</v>
      </c>
      <c r="P419">
        <v>6</v>
      </c>
      <c r="Q419">
        <v>1</v>
      </c>
      <c r="R41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19" t="s">
        <v>24</v>
      </c>
      <c r="T419">
        <v>44</v>
      </c>
      <c r="U419" s="5">
        <f>MAX(0,MIN(1,1-ABS(supply_chain_data[[#This Row],[Forecast Demand]]-supply_chain_data[[#This Row],[Units Sold]])/supply_chain_data[[#This Row],[Forecast Demand]]))</f>
        <v>0.25</v>
      </c>
      <c r="V419" s="4">
        <f>supply_chain_data[[#This Row],[Closing Stock]]/supply_chain_data[[#This Row],[Forecast Demand]]</f>
        <v>7.0454545454545459</v>
      </c>
      <c r="W419">
        <v>76570</v>
      </c>
    </row>
    <row r="420" spans="1:23" x14ac:dyDescent="0.35">
      <c r="A420" t="s">
        <v>28</v>
      </c>
      <c r="B420" t="s">
        <v>29</v>
      </c>
      <c r="C420" t="s">
        <v>20</v>
      </c>
      <c r="D420" t="s">
        <v>37</v>
      </c>
      <c r="E420" t="s">
        <v>38</v>
      </c>
      <c r="F420" t="s">
        <v>30</v>
      </c>
      <c r="G420" s="3">
        <v>45350</v>
      </c>
      <c r="H420">
        <v>213</v>
      </c>
      <c r="I420">
        <v>25</v>
      </c>
      <c r="J420" t="str">
        <f>IF(supply_chain_data[[#This Row],[Units Sold]]&gt;supply_chain_data[[#This Row],[Opening Stock]],"Yes","No")</f>
        <v>No</v>
      </c>
      <c r="K420">
        <v>13</v>
      </c>
      <c r="L420">
        <f>supply_chain_data[[#This Row],[Opening Stock]]+supply_chain_data[[#This Row],[Units Received]]-supply_chain_data[[#This Row],[Units Sold]]</f>
        <v>201</v>
      </c>
      <c r="M420">
        <v>201</v>
      </c>
      <c r="N420">
        <v>72</v>
      </c>
      <c r="O420" s="2">
        <v>135</v>
      </c>
      <c r="P420">
        <v>10</v>
      </c>
      <c r="Q420">
        <v>3</v>
      </c>
      <c r="R42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20" t="s">
        <v>24</v>
      </c>
      <c r="T420">
        <v>14</v>
      </c>
      <c r="U420" s="5">
        <f>MAX(0,MIN(1,1-ABS(supply_chain_data[[#This Row],[Forecast Demand]]-supply_chain_data[[#This Row],[Units Sold]])/supply_chain_data[[#This Row],[Forecast Demand]]))</f>
        <v>0.2142857142857143</v>
      </c>
      <c r="V420" s="4">
        <f>supply_chain_data[[#This Row],[Closing Stock]]/supply_chain_data[[#This Row],[Forecast Demand]]</f>
        <v>14.357142857142858</v>
      </c>
      <c r="W420">
        <v>27135</v>
      </c>
    </row>
    <row r="421" spans="1:23" hidden="1" x14ac:dyDescent="0.35">
      <c r="A421" t="s">
        <v>34</v>
      </c>
      <c r="B421" t="s">
        <v>35</v>
      </c>
      <c r="C421" t="s">
        <v>20</v>
      </c>
      <c r="D421" t="s">
        <v>37</v>
      </c>
      <c r="E421" t="s">
        <v>38</v>
      </c>
      <c r="F421" t="s">
        <v>23</v>
      </c>
      <c r="G421" s="3">
        <v>45351</v>
      </c>
      <c r="H421">
        <v>136</v>
      </c>
      <c r="I421">
        <v>15</v>
      </c>
      <c r="J421" t="str">
        <f>IF(supply_chain_data[[#This Row],[Units Sold]]&gt;supply_chain_data[[#This Row],[Opening Stock]],"Yes","No")</f>
        <v>No</v>
      </c>
      <c r="K421">
        <v>3</v>
      </c>
      <c r="L421">
        <f>supply_chain_data[[#This Row],[Opening Stock]]+supply_chain_data[[#This Row],[Units Received]]-supply_chain_data[[#This Row],[Units Sold]]</f>
        <v>124</v>
      </c>
      <c r="M421">
        <v>124</v>
      </c>
      <c r="N421">
        <v>84</v>
      </c>
      <c r="O421" s="2">
        <v>1032</v>
      </c>
      <c r="P421">
        <v>15</v>
      </c>
      <c r="Q421">
        <v>9</v>
      </c>
      <c r="R42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21" t="s">
        <v>24</v>
      </c>
      <c r="T421">
        <v>47</v>
      </c>
      <c r="U421" s="5">
        <f>MAX(0,MIN(1,1-ABS(supply_chain_data[[#This Row],[Forecast Demand]]-supply_chain_data[[#This Row],[Units Sold]])/supply_chain_data[[#This Row],[Forecast Demand]]))</f>
        <v>0.31914893617021278</v>
      </c>
      <c r="V421" s="4">
        <f>supply_chain_data[[#This Row],[Closing Stock]]/supply_chain_data[[#This Row],[Forecast Demand]]</f>
        <v>2.6382978723404253</v>
      </c>
      <c r="W421">
        <v>127968</v>
      </c>
    </row>
    <row r="422" spans="1:23" x14ac:dyDescent="0.35">
      <c r="A422" t="s">
        <v>28</v>
      </c>
      <c r="B422" t="s">
        <v>29</v>
      </c>
      <c r="C422" t="s">
        <v>20</v>
      </c>
      <c r="D422" t="s">
        <v>21</v>
      </c>
      <c r="E422" t="s">
        <v>22</v>
      </c>
      <c r="F422" t="s">
        <v>23</v>
      </c>
      <c r="G422" s="3">
        <v>45352</v>
      </c>
      <c r="H422">
        <v>239</v>
      </c>
      <c r="I422">
        <v>34</v>
      </c>
      <c r="J422" t="str">
        <f>IF(supply_chain_data[[#This Row],[Units Sold]]&gt;supply_chain_data[[#This Row],[Opening Stock]],"Yes","No")</f>
        <v>No</v>
      </c>
      <c r="K422">
        <v>79</v>
      </c>
      <c r="L422">
        <f>supply_chain_data[[#This Row],[Opening Stock]]+supply_chain_data[[#This Row],[Units Received]]-supply_chain_data[[#This Row],[Units Sold]]</f>
        <v>284</v>
      </c>
      <c r="M422">
        <v>284</v>
      </c>
      <c r="N422">
        <v>83</v>
      </c>
      <c r="O422" s="2">
        <v>213</v>
      </c>
      <c r="P422">
        <v>4</v>
      </c>
      <c r="Q422">
        <v>7</v>
      </c>
      <c r="R42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22" t="s">
        <v>24</v>
      </c>
      <c r="T422">
        <v>29</v>
      </c>
      <c r="U422" s="5">
        <f>MAX(0,MIN(1,1-ABS(supply_chain_data[[#This Row],[Forecast Demand]]-supply_chain_data[[#This Row],[Units Sold]])/supply_chain_data[[#This Row],[Forecast Demand]]))</f>
        <v>0.82758620689655171</v>
      </c>
      <c r="V422" s="4">
        <f>supply_chain_data[[#This Row],[Closing Stock]]/supply_chain_data[[#This Row],[Forecast Demand]]</f>
        <v>9.7931034482758612</v>
      </c>
      <c r="W422">
        <v>60492</v>
      </c>
    </row>
    <row r="423" spans="1:23" x14ac:dyDescent="0.35">
      <c r="A423" t="s">
        <v>28</v>
      </c>
      <c r="B423" t="s">
        <v>29</v>
      </c>
      <c r="C423" t="s">
        <v>20</v>
      </c>
      <c r="D423" t="s">
        <v>43</v>
      </c>
      <c r="E423" t="s">
        <v>48</v>
      </c>
      <c r="F423" t="s">
        <v>23</v>
      </c>
      <c r="G423" s="3">
        <v>45353</v>
      </c>
      <c r="H423">
        <v>275</v>
      </c>
      <c r="I423">
        <v>10</v>
      </c>
      <c r="J423" t="str">
        <f>IF(supply_chain_data[[#This Row],[Units Sold]]&gt;supply_chain_data[[#This Row],[Opening Stock]],"Yes","No")</f>
        <v>No</v>
      </c>
      <c r="K423">
        <v>67</v>
      </c>
      <c r="L423">
        <f>supply_chain_data[[#This Row],[Opening Stock]]+supply_chain_data[[#This Row],[Units Received]]-supply_chain_data[[#This Row],[Units Sold]]</f>
        <v>332</v>
      </c>
      <c r="M423">
        <v>332</v>
      </c>
      <c r="N423">
        <v>74</v>
      </c>
      <c r="O423" s="2">
        <v>714</v>
      </c>
      <c r="P423">
        <v>6</v>
      </c>
      <c r="Q423">
        <v>5</v>
      </c>
      <c r="R42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23" t="s">
        <v>24</v>
      </c>
      <c r="T423">
        <v>43</v>
      </c>
      <c r="U423" s="5">
        <f>MAX(0,MIN(1,1-ABS(supply_chain_data[[#This Row],[Forecast Demand]]-supply_chain_data[[#This Row],[Units Sold]])/supply_chain_data[[#This Row],[Forecast Demand]]))</f>
        <v>0.23255813953488369</v>
      </c>
      <c r="V423" s="4">
        <f>supply_chain_data[[#This Row],[Closing Stock]]/supply_chain_data[[#This Row],[Forecast Demand]]</f>
        <v>7.7209302325581399</v>
      </c>
      <c r="W423">
        <v>237048</v>
      </c>
    </row>
    <row r="424" spans="1:23" x14ac:dyDescent="0.35">
      <c r="A424" t="s">
        <v>41</v>
      </c>
      <c r="B424" t="s">
        <v>42</v>
      </c>
      <c r="C424" t="s">
        <v>20</v>
      </c>
      <c r="D424" t="s">
        <v>31</v>
      </c>
      <c r="E424" t="s">
        <v>32</v>
      </c>
      <c r="F424" t="s">
        <v>23</v>
      </c>
      <c r="G424" s="3">
        <v>45354</v>
      </c>
      <c r="H424">
        <v>128</v>
      </c>
      <c r="I424">
        <v>29</v>
      </c>
      <c r="J424" t="str">
        <f>IF(supply_chain_data[[#This Row],[Units Sold]]&gt;supply_chain_data[[#This Row],[Opening Stock]],"Yes","No")</f>
        <v>No</v>
      </c>
      <c r="K424">
        <v>41</v>
      </c>
      <c r="L424">
        <f>supply_chain_data[[#This Row],[Opening Stock]]+supply_chain_data[[#This Row],[Units Received]]-supply_chain_data[[#This Row],[Units Sold]]</f>
        <v>140</v>
      </c>
      <c r="M424">
        <v>140</v>
      </c>
      <c r="N424">
        <v>79</v>
      </c>
      <c r="O424" s="2">
        <v>1217</v>
      </c>
      <c r="P424">
        <v>4</v>
      </c>
      <c r="Q424">
        <v>1</v>
      </c>
      <c r="R42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24" t="s">
        <v>24</v>
      </c>
      <c r="T424">
        <v>11</v>
      </c>
      <c r="U424" s="5">
        <f>MAX(0,MIN(1,1-ABS(supply_chain_data[[#This Row],[Forecast Demand]]-supply_chain_data[[#This Row],[Units Sold]])/supply_chain_data[[#This Row],[Forecast Demand]]))</f>
        <v>0</v>
      </c>
      <c r="V424" s="4">
        <f>supply_chain_data[[#This Row],[Closing Stock]]/supply_chain_data[[#This Row],[Forecast Demand]]</f>
        <v>12.727272727272727</v>
      </c>
      <c r="W424">
        <v>170380</v>
      </c>
    </row>
    <row r="425" spans="1:23" x14ac:dyDescent="0.35">
      <c r="A425" t="s">
        <v>41</v>
      </c>
      <c r="B425" t="s">
        <v>42</v>
      </c>
      <c r="C425" t="s">
        <v>20</v>
      </c>
      <c r="D425" t="s">
        <v>39</v>
      </c>
      <c r="E425" t="s">
        <v>40</v>
      </c>
      <c r="F425" t="s">
        <v>30</v>
      </c>
      <c r="G425" s="3">
        <v>45355</v>
      </c>
      <c r="H425">
        <v>112</v>
      </c>
      <c r="I425">
        <v>15</v>
      </c>
      <c r="J425" t="str">
        <f>IF(supply_chain_data[[#This Row],[Units Sold]]&gt;supply_chain_data[[#This Row],[Opening Stock]],"Yes","No")</f>
        <v>No</v>
      </c>
      <c r="K425">
        <v>20</v>
      </c>
      <c r="L425">
        <f>supply_chain_data[[#This Row],[Opening Stock]]+supply_chain_data[[#This Row],[Units Received]]-supply_chain_data[[#This Row],[Units Sold]]</f>
        <v>117</v>
      </c>
      <c r="M425">
        <v>117</v>
      </c>
      <c r="N425">
        <v>47</v>
      </c>
      <c r="O425" s="2">
        <v>1065</v>
      </c>
      <c r="P425">
        <v>13</v>
      </c>
      <c r="Q425">
        <v>0</v>
      </c>
      <c r="R42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25" t="s">
        <v>24</v>
      </c>
      <c r="T425">
        <v>28</v>
      </c>
      <c r="U425" s="5">
        <f>MAX(0,MIN(1,1-ABS(supply_chain_data[[#This Row],[Forecast Demand]]-supply_chain_data[[#This Row],[Units Sold]])/supply_chain_data[[#This Row],[Forecast Demand]]))</f>
        <v>0.5357142857142857</v>
      </c>
      <c r="V425" s="4">
        <f>supply_chain_data[[#This Row],[Closing Stock]]/supply_chain_data[[#This Row],[Forecast Demand]]</f>
        <v>4.1785714285714288</v>
      </c>
      <c r="W425">
        <v>124605</v>
      </c>
    </row>
    <row r="426" spans="1:23" hidden="1" x14ac:dyDescent="0.35">
      <c r="A426" t="s">
        <v>25</v>
      </c>
      <c r="B426" t="s">
        <v>26</v>
      </c>
      <c r="C426" t="s">
        <v>20</v>
      </c>
      <c r="D426" t="s">
        <v>39</v>
      </c>
      <c r="E426" t="s">
        <v>40</v>
      </c>
      <c r="F426" t="s">
        <v>30</v>
      </c>
      <c r="G426" s="3">
        <v>45356</v>
      </c>
      <c r="H426">
        <v>141</v>
      </c>
      <c r="I426">
        <v>55</v>
      </c>
      <c r="J426" t="str">
        <f>IF(supply_chain_data[[#This Row],[Units Sold]]&gt;supply_chain_data[[#This Row],[Opening Stock]],"Yes","No")</f>
        <v>No</v>
      </c>
      <c r="K426">
        <v>36</v>
      </c>
      <c r="L426">
        <f>supply_chain_data[[#This Row],[Opening Stock]]+supply_chain_data[[#This Row],[Units Received]]-supply_chain_data[[#This Row],[Units Sold]]</f>
        <v>122</v>
      </c>
      <c r="M426">
        <v>122</v>
      </c>
      <c r="N426">
        <v>76</v>
      </c>
      <c r="O426" s="2">
        <v>523</v>
      </c>
      <c r="P426">
        <v>11</v>
      </c>
      <c r="Q426">
        <v>1</v>
      </c>
      <c r="R42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26" t="s">
        <v>24</v>
      </c>
      <c r="T426">
        <v>57</v>
      </c>
      <c r="U426" s="5">
        <f>MAX(0,MIN(1,1-ABS(supply_chain_data[[#This Row],[Forecast Demand]]-supply_chain_data[[#This Row],[Units Sold]])/supply_chain_data[[#This Row],[Forecast Demand]]))</f>
        <v>0.96491228070175439</v>
      </c>
      <c r="V426" s="4">
        <f>supply_chain_data[[#This Row],[Closing Stock]]/supply_chain_data[[#This Row],[Forecast Demand]]</f>
        <v>2.1403508771929824</v>
      </c>
      <c r="W426">
        <v>63806</v>
      </c>
    </row>
    <row r="427" spans="1:23" hidden="1" x14ac:dyDescent="0.35">
      <c r="A427" t="s">
        <v>18</v>
      </c>
      <c r="B427" t="s">
        <v>19</v>
      </c>
      <c r="C427" t="s">
        <v>20</v>
      </c>
      <c r="D427" t="s">
        <v>37</v>
      </c>
      <c r="E427" t="s">
        <v>38</v>
      </c>
      <c r="F427" t="s">
        <v>30</v>
      </c>
      <c r="G427" s="3">
        <v>45357</v>
      </c>
      <c r="H427">
        <v>192</v>
      </c>
      <c r="I427">
        <v>51</v>
      </c>
      <c r="J427" t="str">
        <f>IF(supply_chain_data[[#This Row],[Units Sold]]&gt;supply_chain_data[[#This Row],[Opening Stock]],"Yes","No")</f>
        <v>No</v>
      </c>
      <c r="K427">
        <v>36</v>
      </c>
      <c r="L427">
        <f>supply_chain_data[[#This Row],[Opening Stock]]+supply_chain_data[[#This Row],[Units Received]]-supply_chain_data[[#This Row],[Units Sold]]</f>
        <v>177</v>
      </c>
      <c r="M427">
        <v>177</v>
      </c>
      <c r="N427">
        <v>67</v>
      </c>
      <c r="O427" s="2">
        <v>1057</v>
      </c>
      <c r="P427">
        <v>9</v>
      </c>
      <c r="Q427">
        <v>6</v>
      </c>
      <c r="R42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27" t="s">
        <v>24</v>
      </c>
      <c r="T427">
        <v>68</v>
      </c>
      <c r="U427" s="5">
        <f>MAX(0,MIN(1,1-ABS(supply_chain_data[[#This Row],[Forecast Demand]]-supply_chain_data[[#This Row],[Units Sold]])/supply_chain_data[[#This Row],[Forecast Demand]]))</f>
        <v>0.75</v>
      </c>
      <c r="V427" s="4">
        <f>supply_chain_data[[#This Row],[Closing Stock]]/supply_chain_data[[#This Row],[Forecast Demand]]</f>
        <v>2.6029411764705883</v>
      </c>
      <c r="W427">
        <v>187089</v>
      </c>
    </row>
    <row r="428" spans="1:23" x14ac:dyDescent="0.35">
      <c r="A428" t="s">
        <v>41</v>
      </c>
      <c r="B428" t="s">
        <v>42</v>
      </c>
      <c r="C428" t="s">
        <v>20</v>
      </c>
      <c r="D428" t="s">
        <v>21</v>
      </c>
      <c r="E428" t="s">
        <v>22</v>
      </c>
      <c r="F428" t="s">
        <v>33</v>
      </c>
      <c r="G428" s="3">
        <v>45358</v>
      </c>
      <c r="H428">
        <v>271</v>
      </c>
      <c r="I428">
        <v>16</v>
      </c>
      <c r="J428" t="str">
        <f>IF(supply_chain_data[[#This Row],[Units Sold]]&gt;supply_chain_data[[#This Row],[Opening Stock]],"Yes","No")</f>
        <v>No</v>
      </c>
      <c r="K428">
        <v>34</v>
      </c>
      <c r="L428">
        <f>supply_chain_data[[#This Row],[Opening Stock]]+supply_chain_data[[#This Row],[Units Received]]-supply_chain_data[[#This Row],[Units Sold]]</f>
        <v>289</v>
      </c>
      <c r="M428">
        <v>289</v>
      </c>
      <c r="N428">
        <v>89</v>
      </c>
      <c r="O428" s="2">
        <v>813</v>
      </c>
      <c r="P428">
        <v>13</v>
      </c>
      <c r="Q428">
        <v>10</v>
      </c>
      <c r="R42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28" t="s">
        <v>24</v>
      </c>
      <c r="T428">
        <v>46</v>
      </c>
      <c r="U428" s="5">
        <f>MAX(0,MIN(1,1-ABS(supply_chain_data[[#This Row],[Forecast Demand]]-supply_chain_data[[#This Row],[Units Sold]])/supply_chain_data[[#This Row],[Forecast Demand]]))</f>
        <v>0.34782608695652173</v>
      </c>
      <c r="V428" s="4">
        <f>supply_chain_data[[#This Row],[Closing Stock]]/supply_chain_data[[#This Row],[Forecast Demand]]</f>
        <v>6.2826086956521738</v>
      </c>
      <c r="W428">
        <v>234957</v>
      </c>
    </row>
    <row r="429" spans="1:23" x14ac:dyDescent="0.35">
      <c r="A429" t="s">
        <v>41</v>
      </c>
      <c r="B429" t="s">
        <v>42</v>
      </c>
      <c r="C429" t="s">
        <v>20</v>
      </c>
      <c r="D429" t="s">
        <v>43</v>
      </c>
      <c r="E429" t="s">
        <v>48</v>
      </c>
      <c r="F429" t="s">
        <v>23</v>
      </c>
      <c r="G429" s="3">
        <v>45359</v>
      </c>
      <c r="H429">
        <v>291</v>
      </c>
      <c r="I429">
        <v>38</v>
      </c>
      <c r="J429" t="str">
        <f>IF(supply_chain_data[[#This Row],[Units Sold]]&gt;supply_chain_data[[#This Row],[Opening Stock]],"Yes","No")</f>
        <v>No</v>
      </c>
      <c r="K429">
        <v>51</v>
      </c>
      <c r="L429">
        <f>supply_chain_data[[#This Row],[Opening Stock]]+supply_chain_data[[#This Row],[Units Received]]-supply_chain_data[[#This Row],[Units Sold]]</f>
        <v>304</v>
      </c>
      <c r="M429">
        <v>304</v>
      </c>
      <c r="N429">
        <v>74</v>
      </c>
      <c r="O429" s="2">
        <v>430</v>
      </c>
      <c r="P429">
        <v>11</v>
      </c>
      <c r="Q429">
        <v>0</v>
      </c>
      <c r="R42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29" t="s">
        <v>24</v>
      </c>
      <c r="T429">
        <v>60</v>
      </c>
      <c r="U429" s="5">
        <f>MAX(0,MIN(1,1-ABS(supply_chain_data[[#This Row],[Forecast Demand]]-supply_chain_data[[#This Row],[Units Sold]])/supply_chain_data[[#This Row],[Forecast Demand]]))</f>
        <v>0.6333333333333333</v>
      </c>
      <c r="V429" s="4">
        <f>supply_chain_data[[#This Row],[Closing Stock]]/supply_chain_data[[#This Row],[Forecast Demand]]</f>
        <v>5.0666666666666664</v>
      </c>
      <c r="W429">
        <v>130720</v>
      </c>
    </row>
    <row r="430" spans="1:23" hidden="1" x14ac:dyDescent="0.35">
      <c r="A430" t="s">
        <v>34</v>
      </c>
      <c r="B430" t="s">
        <v>35</v>
      </c>
      <c r="C430" t="s">
        <v>20</v>
      </c>
      <c r="D430" t="s">
        <v>43</v>
      </c>
      <c r="E430" t="s">
        <v>48</v>
      </c>
      <c r="F430" t="s">
        <v>33</v>
      </c>
      <c r="G430" s="3">
        <v>45360</v>
      </c>
      <c r="H430">
        <v>54</v>
      </c>
      <c r="I430">
        <v>37</v>
      </c>
      <c r="J430" t="str">
        <f>IF(supply_chain_data[[#This Row],[Units Sold]]&gt;supply_chain_data[[#This Row],[Opening Stock]],"Yes","No")</f>
        <v>No</v>
      </c>
      <c r="K430">
        <v>58</v>
      </c>
      <c r="L430">
        <f>supply_chain_data[[#This Row],[Opening Stock]]+supply_chain_data[[#This Row],[Units Received]]-supply_chain_data[[#This Row],[Units Sold]]</f>
        <v>75</v>
      </c>
      <c r="M430">
        <v>75</v>
      </c>
      <c r="N430">
        <v>58</v>
      </c>
      <c r="O430" s="2">
        <v>1216</v>
      </c>
      <c r="P430">
        <v>8</v>
      </c>
      <c r="Q430">
        <v>0</v>
      </c>
      <c r="R43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430" t="s">
        <v>24</v>
      </c>
      <c r="T430">
        <v>70</v>
      </c>
      <c r="U430" s="5">
        <f>MAX(0,MIN(1,1-ABS(supply_chain_data[[#This Row],[Forecast Demand]]-supply_chain_data[[#This Row],[Units Sold]])/supply_chain_data[[#This Row],[Forecast Demand]]))</f>
        <v>0.52857142857142858</v>
      </c>
      <c r="V430" s="4">
        <f>supply_chain_data[[#This Row],[Closing Stock]]/supply_chain_data[[#This Row],[Forecast Demand]]</f>
        <v>1.0714285714285714</v>
      </c>
      <c r="W430">
        <v>91200</v>
      </c>
    </row>
    <row r="431" spans="1:23" x14ac:dyDescent="0.35">
      <c r="A431" t="s">
        <v>25</v>
      </c>
      <c r="B431" t="s">
        <v>26</v>
      </c>
      <c r="C431" t="s">
        <v>20</v>
      </c>
      <c r="D431" t="s">
        <v>37</v>
      </c>
      <c r="E431" t="s">
        <v>46</v>
      </c>
      <c r="F431" t="s">
        <v>33</v>
      </c>
      <c r="G431" s="3">
        <v>45361</v>
      </c>
      <c r="H431">
        <v>184</v>
      </c>
      <c r="I431">
        <v>24</v>
      </c>
      <c r="J431" t="str">
        <f>IF(supply_chain_data[[#This Row],[Units Sold]]&gt;supply_chain_data[[#This Row],[Opening Stock]],"Yes","No")</f>
        <v>No</v>
      </c>
      <c r="K431">
        <v>32</v>
      </c>
      <c r="L431">
        <f>supply_chain_data[[#This Row],[Opening Stock]]+supply_chain_data[[#This Row],[Units Received]]-supply_chain_data[[#This Row],[Units Sold]]</f>
        <v>192</v>
      </c>
      <c r="M431">
        <v>192</v>
      </c>
      <c r="N431">
        <v>79</v>
      </c>
      <c r="O431" s="2">
        <v>1474</v>
      </c>
      <c r="P431">
        <v>8</v>
      </c>
      <c r="Q431">
        <v>9</v>
      </c>
      <c r="R43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31" t="s">
        <v>24</v>
      </c>
      <c r="T431">
        <v>45</v>
      </c>
      <c r="U431" s="5">
        <f>MAX(0,MIN(1,1-ABS(supply_chain_data[[#This Row],[Forecast Demand]]-supply_chain_data[[#This Row],[Units Sold]])/supply_chain_data[[#This Row],[Forecast Demand]]))</f>
        <v>0.53333333333333333</v>
      </c>
      <c r="V431" s="4">
        <f>supply_chain_data[[#This Row],[Closing Stock]]/supply_chain_data[[#This Row],[Forecast Demand]]</f>
        <v>4.2666666666666666</v>
      </c>
      <c r="W431">
        <v>283008</v>
      </c>
    </row>
    <row r="432" spans="1:23" x14ac:dyDescent="0.35">
      <c r="A432" t="s">
        <v>18</v>
      </c>
      <c r="B432" t="s">
        <v>19</v>
      </c>
      <c r="C432" t="s">
        <v>20</v>
      </c>
      <c r="D432" t="s">
        <v>39</v>
      </c>
      <c r="E432" t="s">
        <v>40</v>
      </c>
      <c r="F432" t="s">
        <v>33</v>
      </c>
      <c r="G432" s="3">
        <v>45362</v>
      </c>
      <c r="H432">
        <v>245</v>
      </c>
      <c r="I432">
        <v>48</v>
      </c>
      <c r="J432" t="str">
        <f>IF(supply_chain_data[[#This Row],[Units Sold]]&gt;supply_chain_data[[#This Row],[Opening Stock]],"Yes","No")</f>
        <v>No</v>
      </c>
      <c r="K432">
        <v>44</v>
      </c>
      <c r="L432">
        <f>supply_chain_data[[#This Row],[Opening Stock]]+supply_chain_data[[#This Row],[Units Received]]-supply_chain_data[[#This Row],[Units Sold]]</f>
        <v>241</v>
      </c>
      <c r="M432">
        <v>241</v>
      </c>
      <c r="N432">
        <v>74</v>
      </c>
      <c r="O432" s="2">
        <v>345</v>
      </c>
      <c r="P432">
        <v>13</v>
      </c>
      <c r="Q432">
        <v>3</v>
      </c>
      <c r="R43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32" t="s">
        <v>24</v>
      </c>
      <c r="T432">
        <v>52</v>
      </c>
      <c r="U432" s="5">
        <f>MAX(0,MIN(1,1-ABS(supply_chain_data[[#This Row],[Forecast Demand]]-supply_chain_data[[#This Row],[Units Sold]])/supply_chain_data[[#This Row],[Forecast Demand]]))</f>
        <v>0.92307692307692313</v>
      </c>
      <c r="V432" s="4">
        <f>supply_chain_data[[#This Row],[Closing Stock]]/supply_chain_data[[#This Row],[Forecast Demand]]</f>
        <v>4.634615384615385</v>
      </c>
      <c r="W432">
        <v>83145</v>
      </c>
    </row>
    <row r="433" spans="1:23" x14ac:dyDescent="0.35">
      <c r="A433" t="s">
        <v>18</v>
      </c>
      <c r="B433" t="s">
        <v>19</v>
      </c>
      <c r="C433" t="s">
        <v>20</v>
      </c>
      <c r="D433" t="s">
        <v>31</v>
      </c>
      <c r="E433" t="s">
        <v>32</v>
      </c>
      <c r="F433" t="s">
        <v>33</v>
      </c>
      <c r="G433" s="3">
        <v>45363</v>
      </c>
      <c r="H433">
        <v>266</v>
      </c>
      <c r="I433">
        <v>24</v>
      </c>
      <c r="J433" t="str">
        <f>IF(supply_chain_data[[#This Row],[Units Sold]]&gt;supply_chain_data[[#This Row],[Opening Stock]],"Yes","No")</f>
        <v>No</v>
      </c>
      <c r="K433">
        <v>17</v>
      </c>
      <c r="L433">
        <f>supply_chain_data[[#This Row],[Opening Stock]]+supply_chain_data[[#This Row],[Units Received]]-supply_chain_data[[#This Row],[Units Sold]]</f>
        <v>259</v>
      </c>
      <c r="M433">
        <v>259</v>
      </c>
      <c r="N433">
        <v>84</v>
      </c>
      <c r="O433" s="2">
        <v>673</v>
      </c>
      <c r="P433">
        <v>7</v>
      </c>
      <c r="Q433">
        <v>1</v>
      </c>
      <c r="R43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33" t="s">
        <v>24</v>
      </c>
      <c r="T433">
        <v>50</v>
      </c>
      <c r="U433" s="5">
        <f>MAX(0,MIN(1,1-ABS(supply_chain_data[[#This Row],[Forecast Demand]]-supply_chain_data[[#This Row],[Units Sold]])/supply_chain_data[[#This Row],[Forecast Demand]]))</f>
        <v>0.48</v>
      </c>
      <c r="V433" s="4">
        <f>supply_chain_data[[#This Row],[Closing Stock]]/supply_chain_data[[#This Row],[Forecast Demand]]</f>
        <v>5.18</v>
      </c>
      <c r="W433">
        <v>174307</v>
      </c>
    </row>
    <row r="434" spans="1:23" x14ac:dyDescent="0.35">
      <c r="A434" t="s">
        <v>41</v>
      </c>
      <c r="B434" t="s">
        <v>42</v>
      </c>
      <c r="C434" t="s">
        <v>20</v>
      </c>
      <c r="D434" t="s">
        <v>31</v>
      </c>
      <c r="E434" t="s">
        <v>47</v>
      </c>
      <c r="F434" t="s">
        <v>23</v>
      </c>
      <c r="G434" s="3">
        <v>45364</v>
      </c>
      <c r="H434">
        <v>53</v>
      </c>
      <c r="I434">
        <v>26</v>
      </c>
      <c r="J434" t="str">
        <f>IF(supply_chain_data[[#This Row],[Units Sold]]&gt;supply_chain_data[[#This Row],[Opening Stock]],"Yes","No")</f>
        <v>No</v>
      </c>
      <c r="K434">
        <v>79</v>
      </c>
      <c r="L434">
        <f>supply_chain_data[[#This Row],[Opening Stock]]+supply_chain_data[[#This Row],[Units Received]]-supply_chain_data[[#This Row],[Units Sold]]</f>
        <v>106</v>
      </c>
      <c r="M434">
        <v>106</v>
      </c>
      <c r="N434">
        <v>61</v>
      </c>
      <c r="O434" s="2">
        <v>818</v>
      </c>
      <c r="P434">
        <v>4</v>
      </c>
      <c r="Q434">
        <v>4</v>
      </c>
      <c r="R43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34" t="s">
        <v>24</v>
      </c>
      <c r="T434">
        <v>25</v>
      </c>
      <c r="U434" s="5">
        <f>MAX(0,MIN(1,1-ABS(supply_chain_data[[#This Row],[Forecast Demand]]-supply_chain_data[[#This Row],[Units Sold]])/supply_chain_data[[#This Row],[Forecast Demand]]))</f>
        <v>0.96</v>
      </c>
      <c r="V434" s="4">
        <f>supply_chain_data[[#This Row],[Closing Stock]]/supply_chain_data[[#This Row],[Forecast Demand]]</f>
        <v>4.24</v>
      </c>
      <c r="W434">
        <v>86708</v>
      </c>
    </row>
    <row r="435" spans="1:23" x14ac:dyDescent="0.35">
      <c r="A435" t="s">
        <v>28</v>
      </c>
      <c r="B435" t="s">
        <v>29</v>
      </c>
      <c r="C435" t="s">
        <v>20</v>
      </c>
      <c r="D435" t="s">
        <v>39</v>
      </c>
      <c r="E435" t="s">
        <v>40</v>
      </c>
      <c r="F435" t="s">
        <v>30</v>
      </c>
      <c r="G435" s="3">
        <v>45365</v>
      </c>
      <c r="H435">
        <v>81</v>
      </c>
      <c r="I435">
        <v>36</v>
      </c>
      <c r="J435" t="str">
        <f>IF(supply_chain_data[[#This Row],[Units Sold]]&gt;supply_chain_data[[#This Row],[Opening Stock]],"Yes","No")</f>
        <v>No</v>
      </c>
      <c r="K435">
        <v>27</v>
      </c>
      <c r="L435">
        <f>supply_chain_data[[#This Row],[Opening Stock]]+supply_chain_data[[#This Row],[Units Received]]-supply_chain_data[[#This Row],[Units Sold]]</f>
        <v>72</v>
      </c>
      <c r="M435">
        <v>72</v>
      </c>
      <c r="N435">
        <v>56</v>
      </c>
      <c r="O435" s="2">
        <v>535</v>
      </c>
      <c r="P435">
        <v>6</v>
      </c>
      <c r="Q435">
        <v>9</v>
      </c>
      <c r="R43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35" t="s">
        <v>24</v>
      </c>
      <c r="T435">
        <v>12</v>
      </c>
      <c r="U435" s="5">
        <f>MAX(0,MIN(1,1-ABS(supply_chain_data[[#This Row],[Forecast Demand]]-supply_chain_data[[#This Row],[Units Sold]])/supply_chain_data[[#This Row],[Forecast Demand]]))</f>
        <v>0</v>
      </c>
      <c r="V435" s="4">
        <f>supply_chain_data[[#This Row],[Closing Stock]]/supply_chain_data[[#This Row],[Forecast Demand]]</f>
        <v>6</v>
      </c>
      <c r="W435">
        <v>38520</v>
      </c>
    </row>
    <row r="436" spans="1:23" x14ac:dyDescent="0.35">
      <c r="A436" t="s">
        <v>28</v>
      </c>
      <c r="B436" t="s">
        <v>29</v>
      </c>
      <c r="C436" t="s">
        <v>20</v>
      </c>
      <c r="D436" t="s">
        <v>43</v>
      </c>
      <c r="E436" t="s">
        <v>44</v>
      </c>
      <c r="F436" t="s">
        <v>23</v>
      </c>
      <c r="G436" s="3">
        <v>45366</v>
      </c>
      <c r="H436">
        <v>192</v>
      </c>
      <c r="I436">
        <v>26</v>
      </c>
      <c r="J436" t="str">
        <f>IF(supply_chain_data[[#This Row],[Units Sold]]&gt;supply_chain_data[[#This Row],[Opening Stock]],"Yes","No")</f>
        <v>No</v>
      </c>
      <c r="K436">
        <v>46</v>
      </c>
      <c r="L436">
        <f>supply_chain_data[[#This Row],[Opening Stock]]+supply_chain_data[[#This Row],[Units Received]]-supply_chain_data[[#This Row],[Units Sold]]</f>
        <v>212</v>
      </c>
      <c r="M436">
        <v>212</v>
      </c>
      <c r="N436">
        <v>40</v>
      </c>
      <c r="O436" s="2">
        <v>729</v>
      </c>
      <c r="P436">
        <v>10</v>
      </c>
      <c r="Q436">
        <v>4</v>
      </c>
      <c r="R43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36" t="s">
        <v>24</v>
      </c>
      <c r="T436">
        <v>20</v>
      </c>
      <c r="U436" s="5">
        <f>MAX(0,MIN(1,1-ABS(supply_chain_data[[#This Row],[Forecast Demand]]-supply_chain_data[[#This Row],[Units Sold]])/supply_chain_data[[#This Row],[Forecast Demand]]))</f>
        <v>0.7</v>
      </c>
      <c r="V436" s="4">
        <f>supply_chain_data[[#This Row],[Closing Stock]]/supply_chain_data[[#This Row],[Forecast Demand]]</f>
        <v>10.6</v>
      </c>
      <c r="W436">
        <v>154548</v>
      </c>
    </row>
    <row r="437" spans="1:23" hidden="1" x14ac:dyDescent="0.35">
      <c r="A437" t="s">
        <v>28</v>
      </c>
      <c r="B437" t="s">
        <v>29</v>
      </c>
      <c r="C437" t="s">
        <v>20</v>
      </c>
      <c r="D437" t="s">
        <v>37</v>
      </c>
      <c r="E437" t="s">
        <v>46</v>
      </c>
      <c r="F437" t="s">
        <v>30</v>
      </c>
      <c r="G437" s="3">
        <v>45367</v>
      </c>
      <c r="H437">
        <v>196</v>
      </c>
      <c r="I437">
        <v>39</v>
      </c>
      <c r="J437" t="str">
        <f>IF(supply_chain_data[[#This Row],[Units Sold]]&gt;supply_chain_data[[#This Row],[Opening Stock]],"Yes","No")</f>
        <v>No</v>
      </c>
      <c r="K437">
        <v>56</v>
      </c>
      <c r="L437">
        <f>supply_chain_data[[#This Row],[Opening Stock]]+supply_chain_data[[#This Row],[Units Received]]-supply_chain_data[[#This Row],[Units Sold]]</f>
        <v>213</v>
      </c>
      <c r="M437">
        <v>213</v>
      </c>
      <c r="N437">
        <v>75</v>
      </c>
      <c r="O437" s="2">
        <v>170</v>
      </c>
      <c r="P437">
        <v>11</v>
      </c>
      <c r="Q437">
        <v>1</v>
      </c>
      <c r="R43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37" t="s">
        <v>24</v>
      </c>
      <c r="T437">
        <v>69</v>
      </c>
      <c r="U437" s="5">
        <f>MAX(0,MIN(1,1-ABS(supply_chain_data[[#This Row],[Forecast Demand]]-supply_chain_data[[#This Row],[Units Sold]])/supply_chain_data[[#This Row],[Forecast Demand]]))</f>
        <v>0.56521739130434789</v>
      </c>
      <c r="V437" s="4">
        <f>supply_chain_data[[#This Row],[Closing Stock]]/supply_chain_data[[#This Row],[Forecast Demand]]</f>
        <v>3.0869565217391304</v>
      </c>
      <c r="W437">
        <v>36210</v>
      </c>
    </row>
    <row r="438" spans="1:23" hidden="1" x14ac:dyDescent="0.35">
      <c r="A438" t="s">
        <v>28</v>
      </c>
      <c r="B438" t="s">
        <v>29</v>
      </c>
      <c r="C438" t="s">
        <v>20</v>
      </c>
      <c r="D438" t="s">
        <v>31</v>
      </c>
      <c r="E438" t="s">
        <v>47</v>
      </c>
      <c r="F438" t="s">
        <v>30</v>
      </c>
      <c r="G438" s="3">
        <v>45368</v>
      </c>
      <c r="H438">
        <v>228</v>
      </c>
      <c r="I438">
        <v>12</v>
      </c>
      <c r="J438" t="str">
        <f>IF(supply_chain_data[[#This Row],[Units Sold]]&gt;supply_chain_data[[#This Row],[Opening Stock]],"Yes","No")</f>
        <v>No</v>
      </c>
      <c r="K438">
        <v>40</v>
      </c>
      <c r="L438">
        <f>supply_chain_data[[#This Row],[Opening Stock]]+supply_chain_data[[#This Row],[Units Received]]-supply_chain_data[[#This Row],[Units Sold]]</f>
        <v>256</v>
      </c>
      <c r="M438">
        <v>256</v>
      </c>
      <c r="N438">
        <v>64</v>
      </c>
      <c r="O438" s="2">
        <v>151</v>
      </c>
      <c r="P438">
        <v>5</v>
      </c>
      <c r="Q438">
        <v>2</v>
      </c>
      <c r="R43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38" t="s">
        <v>24</v>
      </c>
      <c r="T438">
        <v>68</v>
      </c>
      <c r="U438" s="5">
        <f>MAX(0,MIN(1,1-ABS(supply_chain_data[[#This Row],[Forecast Demand]]-supply_chain_data[[#This Row],[Units Sold]])/supply_chain_data[[#This Row],[Forecast Demand]]))</f>
        <v>0.17647058823529416</v>
      </c>
      <c r="V438" s="4">
        <f>supply_chain_data[[#This Row],[Closing Stock]]/supply_chain_data[[#This Row],[Forecast Demand]]</f>
        <v>3.7647058823529411</v>
      </c>
      <c r="W438">
        <v>38656</v>
      </c>
    </row>
    <row r="439" spans="1:23" hidden="1" x14ac:dyDescent="0.35">
      <c r="A439" t="s">
        <v>34</v>
      </c>
      <c r="B439" t="s">
        <v>35</v>
      </c>
      <c r="C439" t="s">
        <v>20</v>
      </c>
      <c r="D439" t="s">
        <v>39</v>
      </c>
      <c r="E439" t="s">
        <v>45</v>
      </c>
      <c r="F439" t="s">
        <v>23</v>
      </c>
      <c r="G439" s="3">
        <v>45369</v>
      </c>
      <c r="H439">
        <v>55</v>
      </c>
      <c r="I439">
        <v>37</v>
      </c>
      <c r="J439" t="str">
        <f>IF(supply_chain_data[[#This Row],[Units Sold]]&gt;supply_chain_data[[#This Row],[Opening Stock]],"Yes","No")</f>
        <v>No</v>
      </c>
      <c r="K439">
        <v>28</v>
      </c>
      <c r="L439">
        <f>supply_chain_data[[#This Row],[Opening Stock]]+supply_chain_data[[#This Row],[Units Received]]-supply_chain_data[[#This Row],[Units Sold]]</f>
        <v>46</v>
      </c>
      <c r="M439">
        <v>46</v>
      </c>
      <c r="N439">
        <v>89</v>
      </c>
      <c r="O439" s="2">
        <v>1061</v>
      </c>
      <c r="P439">
        <v>2</v>
      </c>
      <c r="Q439">
        <v>10</v>
      </c>
      <c r="R43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439" t="s">
        <v>36</v>
      </c>
      <c r="T439">
        <v>22</v>
      </c>
      <c r="U439" s="5">
        <f>MAX(0,MIN(1,1-ABS(supply_chain_data[[#This Row],[Forecast Demand]]-supply_chain_data[[#This Row],[Units Sold]])/supply_chain_data[[#This Row],[Forecast Demand]]))</f>
        <v>0.31818181818181823</v>
      </c>
      <c r="V439" s="4">
        <f>supply_chain_data[[#This Row],[Closing Stock]]/supply_chain_data[[#This Row],[Forecast Demand]]</f>
        <v>2.0909090909090908</v>
      </c>
      <c r="W439">
        <v>48806</v>
      </c>
    </row>
    <row r="440" spans="1:23" hidden="1" x14ac:dyDescent="0.35">
      <c r="A440" t="s">
        <v>34</v>
      </c>
      <c r="B440" t="s">
        <v>35</v>
      </c>
      <c r="C440" t="s">
        <v>20</v>
      </c>
      <c r="D440" t="s">
        <v>37</v>
      </c>
      <c r="E440" t="s">
        <v>46</v>
      </c>
      <c r="F440" t="s">
        <v>30</v>
      </c>
      <c r="G440" s="3">
        <v>45370</v>
      </c>
      <c r="H440">
        <v>249</v>
      </c>
      <c r="I440">
        <v>55</v>
      </c>
      <c r="J440" t="str">
        <f>IF(supply_chain_data[[#This Row],[Units Sold]]&gt;supply_chain_data[[#This Row],[Opening Stock]],"Yes","No")</f>
        <v>No</v>
      </c>
      <c r="K440">
        <v>11</v>
      </c>
      <c r="L440">
        <f>supply_chain_data[[#This Row],[Opening Stock]]+supply_chain_data[[#This Row],[Units Received]]-supply_chain_data[[#This Row],[Units Sold]]</f>
        <v>205</v>
      </c>
      <c r="M440">
        <v>205</v>
      </c>
      <c r="N440">
        <v>63</v>
      </c>
      <c r="O440" s="2">
        <v>781</v>
      </c>
      <c r="P440">
        <v>13</v>
      </c>
      <c r="Q440">
        <v>10</v>
      </c>
      <c r="R44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40" t="s">
        <v>24</v>
      </c>
      <c r="T440">
        <v>64</v>
      </c>
      <c r="U440" s="5">
        <f>MAX(0,MIN(1,1-ABS(supply_chain_data[[#This Row],[Forecast Demand]]-supply_chain_data[[#This Row],[Units Sold]])/supply_chain_data[[#This Row],[Forecast Demand]]))</f>
        <v>0.859375</v>
      </c>
      <c r="V440" s="4">
        <f>supply_chain_data[[#This Row],[Closing Stock]]/supply_chain_data[[#This Row],[Forecast Demand]]</f>
        <v>3.203125</v>
      </c>
      <c r="W440">
        <v>160105</v>
      </c>
    </row>
    <row r="441" spans="1:23" hidden="1" x14ac:dyDescent="0.35">
      <c r="A441" t="s">
        <v>28</v>
      </c>
      <c r="B441" t="s">
        <v>29</v>
      </c>
      <c r="C441" t="s">
        <v>20</v>
      </c>
      <c r="D441" t="s">
        <v>43</v>
      </c>
      <c r="E441" t="s">
        <v>44</v>
      </c>
      <c r="F441" t="s">
        <v>23</v>
      </c>
      <c r="G441" s="3">
        <v>45371</v>
      </c>
      <c r="H441">
        <v>139</v>
      </c>
      <c r="I441">
        <v>18</v>
      </c>
      <c r="J441" t="str">
        <f>IF(supply_chain_data[[#This Row],[Units Sold]]&gt;supply_chain_data[[#This Row],[Opening Stock]],"Yes","No")</f>
        <v>No</v>
      </c>
      <c r="K441">
        <v>23</v>
      </c>
      <c r="L441">
        <f>supply_chain_data[[#This Row],[Opening Stock]]+supply_chain_data[[#This Row],[Units Received]]-supply_chain_data[[#This Row],[Units Sold]]</f>
        <v>144</v>
      </c>
      <c r="M441">
        <v>144</v>
      </c>
      <c r="N441">
        <v>86</v>
      </c>
      <c r="O441" s="2">
        <v>196</v>
      </c>
      <c r="P441">
        <v>15</v>
      </c>
      <c r="Q441">
        <v>0</v>
      </c>
      <c r="R44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41" t="s">
        <v>24</v>
      </c>
      <c r="T441">
        <v>49</v>
      </c>
      <c r="U441" s="5">
        <f>MAX(0,MIN(1,1-ABS(supply_chain_data[[#This Row],[Forecast Demand]]-supply_chain_data[[#This Row],[Units Sold]])/supply_chain_data[[#This Row],[Forecast Demand]]))</f>
        <v>0.36734693877551017</v>
      </c>
      <c r="V441" s="4">
        <f>supply_chain_data[[#This Row],[Closing Stock]]/supply_chain_data[[#This Row],[Forecast Demand]]</f>
        <v>2.9387755102040818</v>
      </c>
      <c r="W441">
        <v>28224</v>
      </c>
    </row>
    <row r="442" spans="1:23" x14ac:dyDescent="0.35">
      <c r="A442" t="s">
        <v>34</v>
      </c>
      <c r="B442" t="s">
        <v>35</v>
      </c>
      <c r="C442" t="s">
        <v>20</v>
      </c>
      <c r="D442" t="s">
        <v>31</v>
      </c>
      <c r="E442" t="s">
        <v>32</v>
      </c>
      <c r="F442" t="s">
        <v>23</v>
      </c>
      <c r="G442" s="3">
        <v>45372</v>
      </c>
      <c r="H442">
        <v>208</v>
      </c>
      <c r="I442">
        <v>20</v>
      </c>
      <c r="J442" t="str">
        <f>IF(supply_chain_data[[#This Row],[Units Sold]]&gt;supply_chain_data[[#This Row],[Opening Stock]],"Yes","No")</f>
        <v>No</v>
      </c>
      <c r="K442">
        <v>75</v>
      </c>
      <c r="L442">
        <f>supply_chain_data[[#This Row],[Opening Stock]]+supply_chain_data[[#This Row],[Units Received]]-supply_chain_data[[#This Row],[Units Sold]]</f>
        <v>263</v>
      </c>
      <c r="M442">
        <v>263</v>
      </c>
      <c r="N442">
        <v>55</v>
      </c>
      <c r="O442" s="2">
        <v>1197</v>
      </c>
      <c r="P442">
        <v>5</v>
      </c>
      <c r="Q442">
        <v>6</v>
      </c>
      <c r="R44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42" t="s">
        <v>24</v>
      </c>
      <c r="T442">
        <v>28</v>
      </c>
      <c r="U442" s="5">
        <f>MAX(0,MIN(1,1-ABS(supply_chain_data[[#This Row],[Forecast Demand]]-supply_chain_data[[#This Row],[Units Sold]])/supply_chain_data[[#This Row],[Forecast Demand]]))</f>
        <v>0.7142857142857143</v>
      </c>
      <c r="V442" s="4">
        <f>supply_chain_data[[#This Row],[Closing Stock]]/supply_chain_data[[#This Row],[Forecast Demand]]</f>
        <v>9.3928571428571423</v>
      </c>
      <c r="W442">
        <v>314811</v>
      </c>
    </row>
    <row r="443" spans="1:23" hidden="1" x14ac:dyDescent="0.35">
      <c r="A443" t="s">
        <v>25</v>
      </c>
      <c r="B443" t="s">
        <v>26</v>
      </c>
      <c r="C443" t="s">
        <v>20</v>
      </c>
      <c r="D443" t="s">
        <v>43</v>
      </c>
      <c r="E443" t="s">
        <v>44</v>
      </c>
      <c r="F443" t="s">
        <v>30</v>
      </c>
      <c r="G443" s="3">
        <v>45373</v>
      </c>
      <c r="H443">
        <v>246</v>
      </c>
      <c r="I443">
        <v>19</v>
      </c>
      <c r="J443" t="str">
        <f>IF(supply_chain_data[[#This Row],[Units Sold]]&gt;supply_chain_data[[#This Row],[Opening Stock]],"Yes","No")</f>
        <v>No</v>
      </c>
      <c r="K443">
        <v>36</v>
      </c>
      <c r="L443">
        <f>supply_chain_data[[#This Row],[Opening Stock]]+supply_chain_data[[#This Row],[Units Received]]-supply_chain_data[[#This Row],[Units Sold]]</f>
        <v>263</v>
      </c>
      <c r="M443">
        <v>263</v>
      </c>
      <c r="N443">
        <v>43</v>
      </c>
      <c r="O443" s="2">
        <v>1212</v>
      </c>
      <c r="P443">
        <v>14</v>
      </c>
      <c r="Q443">
        <v>8</v>
      </c>
      <c r="R44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43" t="s">
        <v>24</v>
      </c>
      <c r="T443">
        <v>69</v>
      </c>
      <c r="U443" s="5">
        <f>MAX(0,MIN(1,1-ABS(supply_chain_data[[#This Row],[Forecast Demand]]-supply_chain_data[[#This Row],[Units Sold]])/supply_chain_data[[#This Row],[Forecast Demand]]))</f>
        <v>0.27536231884057971</v>
      </c>
      <c r="V443" s="4">
        <f>supply_chain_data[[#This Row],[Closing Stock]]/supply_chain_data[[#This Row],[Forecast Demand]]</f>
        <v>3.8115942028985508</v>
      </c>
      <c r="W443">
        <v>318756</v>
      </c>
    </row>
    <row r="444" spans="1:23" x14ac:dyDescent="0.35">
      <c r="A444" t="s">
        <v>34</v>
      </c>
      <c r="B444" t="s">
        <v>35</v>
      </c>
      <c r="C444" t="s">
        <v>20</v>
      </c>
      <c r="D444" t="s">
        <v>21</v>
      </c>
      <c r="E444" t="s">
        <v>22</v>
      </c>
      <c r="F444" t="s">
        <v>23</v>
      </c>
      <c r="G444" s="3">
        <v>45374</v>
      </c>
      <c r="H444">
        <v>260</v>
      </c>
      <c r="I444">
        <v>19</v>
      </c>
      <c r="J444" t="str">
        <f>IF(supply_chain_data[[#This Row],[Units Sold]]&gt;supply_chain_data[[#This Row],[Opening Stock]],"Yes","No")</f>
        <v>No</v>
      </c>
      <c r="K444">
        <v>78</v>
      </c>
      <c r="L444">
        <f>supply_chain_data[[#This Row],[Opening Stock]]+supply_chain_data[[#This Row],[Units Received]]-supply_chain_data[[#This Row],[Units Sold]]</f>
        <v>319</v>
      </c>
      <c r="M444">
        <v>319</v>
      </c>
      <c r="N444">
        <v>60</v>
      </c>
      <c r="O444" s="2">
        <v>305</v>
      </c>
      <c r="P444">
        <v>7</v>
      </c>
      <c r="Q444">
        <v>0</v>
      </c>
      <c r="R44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44" t="s">
        <v>24</v>
      </c>
      <c r="T444">
        <v>10</v>
      </c>
      <c r="U444" s="5">
        <f>MAX(0,MIN(1,1-ABS(supply_chain_data[[#This Row],[Forecast Demand]]-supply_chain_data[[#This Row],[Units Sold]])/supply_chain_data[[#This Row],[Forecast Demand]]))</f>
        <v>9.9999999999999978E-2</v>
      </c>
      <c r="V444" s="4">
        <f>supply_chain_data[[#This Row],[Closing Stock]]/supply_chain_data[[#This Row],[Forecast Demand]]</f>
        <v>31.9</v>
      </c>
      <c r="W444">
        <v>97295</v>
      </c>
    </row>
    <row r="445" spans="1:23" hidden="1" x14ac:dyDescent="0.35">
      <c r="A445" t="s">
        <v>34</v>
      </c>
      <c r="B445" t="s">
        <v>35</v>
      </c>
      <c r="C445" t="s">
        <v>20</v>
      </c>
      <c r="D445" t="s">
        <v>31</v>
      </c>
      <c r="E445" t="s">
        <v>32</v>
      </c>
      <c r="F445" t="s">
        <v>33</v>
      </c>
      <c r="G445" s="3">
        <v>45375</v>
      </c>
      <c r="H445">
        <v>106</v>
      </c>
      <c r="I445">
        <v>17</v>
      </c>
      <c r="J445" t="str">
        <f>IF(supply_chain_data[[#This Row],[Units Sold]]&gt;supply_chain_data[[#This Row],[Opening Stock]],"Yes","No")</f>
        <v>No</v>
      </c>
      <c r="K445">
        <v>37</v>
      </c>
      <c r="L445">
        <f>supply_chain_data[[#This Row],[Opening Stock]]+supply_chain_data[[#This Row],[Units Received]]-supply_chain_data[[#This Row],[Units Sold]]</f>
        <v>126</v>
      </c>
      <c r="M445">
        <v>126</v>
      </c>
      <c r="N445">
        <v>57</v>
      </c>
      <c r="O445" s="2">
        <v>1078</v>
      </c>
      <c r="P445">
        <v>5</v>
      </c>
      <c r="Q445">
        <v>8</v>
      </c>
      <c r="R44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45" t="s">
        <v>24</v>
      </c>
      <c r="T445">
        <v>36</v>
      </c>
      <c r="U445" s="5">
        <f>MAX(0,MIN(1,1-ABS(supply_chain_data[[#This Row],[Forecast Demand]]-supply_chain_data[[#This Row],[Units Sold]])/supply_chain_data[[#This Row],[Forecast Demand]]))</f>
        <v>0.47222222222222221</v>
      </c>
      <c r="V445" s="4">
        <f>supply_chain_data[[#This Row],[Closing Stock]]/supply_chain_data[[#This Row],[Forecast Demand]]</f>
        <v>3.5</v>
      </c>
      <c r="W445">
        <v>135828</v>
      </c>
    </row>
    <row r="446" spans="1:23" x14ac:dyDescent="0.35">
      <c r="A446" t="s">
        <v>25</v>
      </c>
      <c r="B446" t="s">
        <v>26</v>
      </c>
      <c r="C446" t="s">
        <v>20</v>
      </c>
      <c r="D446" t="s">
        <v>37</v>
      </c>
      <c r="E446" t="s">
        <v>46</v>
      </c>
      <c r="F446" t="s">
        <v>33</v>
      </c>
      <c r="G446" s="3">
        <v>45376</v>
      </c>
      <c r="H446">
        <v>299</v>
      </c>
      <c r="I446">
        <v>9</v>
      </c>
      <c r="J446" t="str">
        <f>IF(supply_chain_data[[#This Row],[Units Sold]]&gt;supply_chain_data[[#This Row],[Opening Stock]],"Yes","No")</f>
        <v>No</v>
      </c>
      <c r="K446">
        <v>28</v>
      </c>
      <c r="L446">
        <f>supply_chain_data[[#This Row],[Opening Stock]]+supply_chain_data[[#This Row],[Units Received]]-supply_chain_data[[#This Row],[Units Sold]]</f>
        <v>318</v>
      </c>
      <c r="M446">
        <v>318</v>
      </c>
      <c r="N446">
        <v>92</v>
      </c>
      <c r="O446" s="2">
        <v>1189</v>
      </c>
      <c r="P446">
        <v>3</v>
      </c>
      <c r="Q446">
        <v>7</v>
      </c>
      <c r="R44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46" t="s">
        <v>24</v>
      </c>
      <c r="T446">
        <v>51</v>
      </c>
      <c r="U446" s="5">
        <f>MAX(0,MIN(1,1-ABS(supply_chain_data[[#This Row],[Forecast Demand]]-supply_chain_data[[#This Row],[Units Sold]])/supply_chain_data[[#This Row],[Forecast Demand]]))</f>
        <v>0.17647058823529416</v>
      </c>
      <c r="V446" s="4">
        <f>supply_chain_data[[#This Row],[Closing Stock]]/supply_chain_data[[#This Row],[Forecast Demand]]</f>
        <v>6.2352941176470589</v>
      </c>
      <c r="W446">
        <v>378102</v>
      </c>
    </row>
    <row r="447" spans="1:23" x14ac:dyDescent="0.35">
      <c r="A447" t="s">
        <v>18</v>
      </c>
      <c r="B447" t="s">
        <v>19</v>
      </c>
      <c r="C447" t="s">
        <v>20</v>
      </c>
      <c r="D447" t="s">
        <v>37</v>
      </c>
      <c r="E447" t="s">
        <v>38</v>
      </c>
      <c r="F447" t="s">
        <v>23</v>
      </c>
      <c r="G447" s="3">
        <v>45377</v>
      </c>
      <c r="H447">
        <v>161</v>
      </c>
      <c r="I447">
        <v>16</v>
      </c>
      <c r="J447" t="str">
        <f>IF(supply_chain_data[[#This Row],[Units Sold]]&gt;supply_chain_data[[#This Row],[Opening Stock]],"Yes","No")</f>
        <v>No</v>
      </c>
      <c r="K447">
        <v>63</v>
      </c>
      <c r="L447">
        <f>supply_chain_data[[#This Row],[Opening Stock]]+supply_chain_data[[#This Row],[Units Received]]-supply_chain_data[[#This Row],[Units Sold]]</f>
        <v>208</v>
      </c>
      <c r="M447">
        <v>208</v>
      </c>
      <c r="N447">
        <v>70</v>
      </c>
      <c r="O447" s="2">
        <v>1346</v>
      </c>
      <c r="P447">
        <v>13</v>
      </c>
      <c r="Q447">
        <v>8</v>
      </c>
      <c r="R44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47" t="s">
        <v>24</v>
      </c>
      <c r="T447">
        <v>35</v>
      </c>
      <c r="U447" s="5">
        <f>MAX(0,MIN(1,1-ABS(supply_chain_data[[#This Row],[Forecast Demand]]-supply_chain_data[[#This Row],[Units Sold]])/supply_chain_data[[#This Row],[Forecast Demand]]))</f>
        <v>0.45714285714285718</v>
      </c>
      <c r="V447" s="4">
        <f>supply_chain_data[[#This Row],[Closing Stock]]/supply_chain_data[[#This Row],[Forecast Demand]]</f>
        <v>5.9428571428571431</v>
      </c>
      <c r="W447">
        <v>279968</v>
      </c>
    </row>
    <row r="448" spans="1:23" hidden="1" x14ac:dyDescent="0.35">
      <c r="A448" t="s">
        <v>18</v>
      </c>
      <c r="B448" t="s">
        <v>19</v>
      </c>
      <c r="C448" t="s">
        <v>20</v>
      </c>
      <c r="D448" t="s">
        <v>21</v>
      </c>
      <c r="E448" t="s">
        <v>27</v>
      </c>
      <c r="F448" t="s">
        <v>33</v>
      </c>
      <c r="G448" s="3">
        <v>45378</v>
      </c>
      <c r="H448">
        <v>77</v>
      </c>
      <c r="I448">
        <v>14</v>
      </c>
      <c r="J448" t="str">
        <f>IF(supply_chain_data[[#This Row],[Units Sold]]&gt;supply_chain_data[[#This Row],[Opening Stock]],"Yes","No")</f>
        <v>No</v>
      </c>
      <c r="K448">
        <v>4</v>
      </c>
      <c r="L448">
        <f>supply_chain_data[[#This Row],[Opening Stock]]+supply_chain_data[[#This Row],[Units Received]]-supply_chain_data[[#This Row],[Units Sold]]</f>
        <v>67</v>
      </c>
      <c r="M448">
        <v>67</v>
      </c>
      <c r="N448">
        <v>52</v>
      </c>
      <c r="O448" s="2">
        <v>894</v>
      </c>
      <c r="P448">
        <v>13</v>
      </c>
      <c r="Q448">
        <v>9</v>
      </c>
      <c r="R44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448" t="s">
        <v>24</v>
      </c>
      <c r="T448">
        <v>40</v>
      </c>
      <c r="U448" s="5">
        <f>MAX(0,MIN(1,1-ABS(supply_chain_data[[#This Row],[Forecast Demand]]-supply_chain_data[[#This Row],[Units Sold]])/supply_chain_data[[#This Row],[Forecast Demand]]))</f>
        <v>0.35</v>
      </c>
      <c r="V448" s="4">
        <f>supply_chain_data[[#This Row],[Closing Stock]]/supply_chain_data[[#This Row],[Forecast Demand]]</f>
        <v>1.675</v>
      </c>
      <c r="W448">
        <v>59898</v>
      </c>
    </row>
    <row r="449" spans="1:23" x14ac:dyDescent="0.35">
      <c r="A449" t="s">
        <v>25</v>
      </c>
      <c r="B449" t="s">
        <v>26</v>
      </c>
      <c r="C449" t="s">
        <v>20</v>
      </c>
      <c r="D449" t="s">
        <v>37</v>
      </c>
      <c r="E449" t="s">
        <v>46</v>
      </c>
      <c r="F449" t="s">
        <v>33</v>
      </c>
      <c r="G449" s="3">
        <v>45379</v>
      </c>
      <c r="H449">
        <v>184</v>
      </c>
      <c r="I449">
        <v>20</v>
      </c>
      <c r="J449" t="str">
        <f>IF(supply_chain_data[[#This Row],[Units Sold]]&gt;supply_chain_data[[#This Row],[Opening Stock]],"Yes","No")</f>
        <v>No</v>
      </c>
      <c r="K449">
        <v>60</v>
      </c>
      <c r="L449">
        <f>supply_chain_data[[#This Row],[Opening Stock]]+supply_chain_data[[#This Row],[Units Received]]-supply_chain_data[[#This Row],[Units Sold]]</f>
        <v>224</v>
      </c>
      <c r="M449">
        <v>224</v>
      </c>
      <c r="N449">
        <v>95</v>
      </c>
      <c r="O449" s="2">
        <v>950</v>
      </c>
      <c r="P449">
        <v>4</v>
      </c>
      <c r="Q449">
        <v>5</v>
      </c>
      <c r="R44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49" t="s">
        <v>24</v>
      </c>
      <c r="T449">
        <v>44</v>
      </c>
      <c r="U449" s="5">
        <f>MAX(0,MIN(1,1-ABS(supply_chain_data[[#This Row],[Forecast Demand]]-supply_chain_data[[#This Row],[Units Sold]])/supply_chain_data[[#This Row],[Forecast Demand]]))</f>
        <v>0.45454545454545459</v>
      </c>
      <c r="V449" s="4">
        <f>supply_chain_data[[#This Row],[Closing Stock]]/supply_chain_data[[#This Row],[Forecast Demand]]</f>
        <v>5.0909090909090908</v>
      </c>
      <c r="W449">
        <v>212800</v>
      </c>
    </row>
    <row r="450" spans="1:23" x14ac:dyDescent="0.35">
      <c r="A450" t="s">
        <v>18</v>
      </c>
      <c r="B450" t="s">
        <v>19</v>
      </c>
      <c r="C450" t="s">
        <v>20</v>
      </c>
      <c r="D450" t="s">
        <v>31</v>
      </c>
      <c r="E450" t="s">
        <v>32</v>
      </c>
      <c r="F450" t="s">
        <v>30</v>
      </c>
      <c r="G450" s="3">
        <v>45380</v>
      </c>
      <c r="H450">
        <v>258</v>
      </c>
      <c r="I450">
        <v>31</v>
      </c>
      <c r="J450" t="str">
        <f>IF(supply_chain_data[[#This Row],[Units Sold]]&gt;supply_chain_data[[#This Row],[Opening Stock]],"Yes","No")</f>
        <v>No</v>
      </c>
      <c r="K450">
        <v>14</v>
      </c>
      <c r="L450">
        <f>supply_chain_data[[#This Row],[Opening Stock]]+supply_chain_data[[#This Row],[Units Received]]-supply_chain_data[[#This Row],[Units Sold]]</f>
        <v>241</v>
      </c>
      <c r="M450">
        <v>241</v>
      </c>
      <c r="N450">
        <v>60</v>
      </c>
      <c r="O450" s="2">
        <v>101</v>
      </c>
      <c r="P450">
        <v>12</v>
      </c>
      <c r="Q450">
        <v>9</v>
      </c>
      <c r="R45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50" t="s">
        <v>24</v>
      </c>
      <c r="T450">
        <v>58</v>
      </c>
      <c r="U450" s="5">
        <f>MAX(0,MIN(1,1-ABS(supply_chain_data[[#This Row],[Forecast Demand]]-supply_chain_data[[#This Row],[Units Sold]])/supply_chain_data[[#This Row],[Forecast Demand]]))</f>
        <v>0.53448275862068972</v>
      </c>
      <c r="V450" s="4">
        <f>supply_chain_data[[#This Row],[Closing Stock]]/supply_chain_data[[#This Row],[Forecast Demand]]</f>
        <v>4.1551724137931032</v>
      </c>
      <c r="W450">
        <v>24341</v>
      </c>
    </row>
    <row r="451" spans="1:23" x14ac:dyDescent="0.35">
      <c r="A451" t="s">
        <v>25</v>
      </c>
      <c r="B451" t="s">
        <v>26</v>
      </c>
      <c r="C451" t="s">
        <v>20</v>
      </c>
      <c r="D451" t="s">
        <v>31</v>
      </c>
      <c r="E451" t="s">
        <v>32</v>
      </c>
      <c r="F451" t="s">
        <v>23</v>
      </c>
      <c r="G451" s="3">
        <v>45381</v>
      </c>
      <c r="H451">
        <v>276</v>
      </c>
      <c r="I451">
        <v>29</v>
      </c>
      <c r="J451" t="str">
        <f>IF(supply_chain_data[[#This Row],[Units Sold]]&gt;supply_chain_data[[#This Row],[Opening Stock]],"Yes","No")</f>
        <v>No</v>
      </c>
      <c r="K451">
        <v>2</v>
      </c>
      <c r="L451">
        <f>supply_chain_data[[#This Row],[Opening Stock]]+supply_chain_data[[#This Row],[Units Received]]-supply_chain_data[[#This Row],[Units Sold]]</f>
        <v>249</v>
      </c>
      <c r="M451">
        <v>249</v>
      </c>
      <c r="N451">
        <v>63</v>
      </c>
      <c r="O451" s="2">
        <v>621</v>
      </c>
      <c r="P451">
        <v>15</v>
      </c>
      <c r="Q451">
        <v>4</v>
      </c>
      <c r="R45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51" t="s">
        <v>24</v>
      </c>
      <c r="T451">
        <v>44</v>
      </c>
      <c r="U451" s="5">
        <f>MAX(0,MIN(1,1-ABS(supply_chain_data[[#This Row],[Forecast Demand]]-supply_chain_data[[#This Row],[Units Sold]])/supply_chain_data[[#This Row],[Forecast Demand]]))</f>
        <v>0.65909090909090917</v>
      </c>
      <c r="V451" s="4">
        <f>supply_chain_data[[#This Row],[Closing Stock]]/supply_chain_data[[#This Row],[Forecast Demand]]</f>
        <v>5.6590909090909092</v>
      </c>
      <c r="W451">
        <v>154629</v>
      </c>
    </row>
    <row r="452" spans="1:23" hidden="1" x14ac:dyDescent="0.35">
      <c r="A452" t="s">
        <v>25</v>
      </c>
      <c r="B452" t="s">
        <v>26</v>
      </c>
      <c r="C452" t="s">
        <v>20</v>
      </c>
      <c r="D452" t="s">
        <v>37</v>
      </c>
      <c r="E452" t="s">
        <v>46</v>
      </c>
      <c r="F452" t="s">
        <v>23</v>
      </c>
      <c r="G452" s="3">
        <v>45382</v>
      </c>
      <c r="H452">
        <v>100</v>
      </c>
      <c r="I452">
        <v>50</v>
      </c>
      <c r="J452" t="str">
        <f>IF(supply_chain_data[[#This Row],[Units Sold]]&gt;supply_chain_data[[#This Row],[Opening Stock]],"Yes","No")</f>
        <v>No</v>
      </c>
      <c r="K452">
        <v>9</v>
      </c>
      <c r="L452">
        <f>supply_chain_data[[#This Row],[Opening Stock]]+supply_chain_data[[#This Row],[Units Received]]-supply_chain_data[[#This Row],[Units Sold]]</f>
        <v>59</v>
      </c>
      <c r="M452">
        <v>59</v>
      </c>
      <c r="N452">
        <v>41</v>
      </c>
      <c r="O452" s="2">
        <v>1259</v>
      </c>
      <c r="P452">
        <v>13</v>
      </c>
      <c r="Q452">
        <v>6</v>
      </c>
      <c r="R45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52" t="s">
        <v>24</v>
      </c>
      <c r="T452">
        <v>20</v>
      </c>
      <c r="U452" s="5">
        <f>MAX(0,MIN(1,1-ABS(supply_chain_data[[#This Row],[Forecast Demand]]-supply_chain_data[[#This Row],[Units Sold]])/supply_chain_data[[#This Row],[Forecast Demand]]))</f>
        <v>0</v>
      </c>
      <c r="V452" s="4">
        <f>supply_chain_data[[#This Row],[Closing Stock]]/supply_chain_data[[#This Row],[Forecast Demand]]</f>
        <v>2.95</v>
      </c>
      <c r="W452">
        <v>74281</v>
      </c>
    </row>
    <row r="453" spans="1:23" x14ac:dyDescent="0.35">
      <c r="A453" t="s">
        <v>28</v>
      </c>
      <c r="B453" t="s">
        <v>29</v>
      </c>
      <c r="C453" t="s">
        <v>20</v>
      </c>
      <c r="D453" t="s">
        <v>39</v>
      </c>
      <c r="E453" t="s">
        <v>45</v>
      </c>
      <c r="F453" t="s">
        <v>30</v>
      </c>
      <c r="G453" s="3">
        <v>45383</v>
      </c>
      <c r="H453">
        <v>215</v>
      </c>
      <c r="I453">
        <v>40</v>
      </c>
      <c r="J453" t="str">
        <f>IF(supply_chain_data[[#This Row],[Units Sold]]&gt;supply_chain_data[[#This Row],[Opening Stock]],"Yes","No")</f>
        <v>No</v>
      </c>
      <c r="K453">
        <v>70</v>
      </c>
      <c r="L453">
        <f>supply_chain_data[[#This Row],[Opening Stock]]+supply_chain_data[[#This Row],[Units Received]]-supply_chain_data[[#This Row],[Units Sold]]</f>
        <v>245</v>
      </c>
      <c r="M453">
        <v>245</v>
      </c>
      <c r="N453">
        <v>63</v>
      </c>
      <c r="O453" s="2">
        <v>1497</v>
      </c>
      <c r="P453">
        <v>12</v>
      </c>
      <c r="Q453">
        <v>3</v>
      </c>
      <c r="R45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53" t="s">
        <v>24</v>
      </c>
      <c r="T453">
        <v>29</v>
      </c>
      <c r="U453" s="5">
        <f>MAX(0,MIN(1,1-ABS(supply_chain_data[[#This Row],[Forecast Demand]]-supply_chain_data[[#This Row],[Units Sold]])/supply_chain_data[[#This Row],[Forecast Demand]]))</f>
        <v>0.62068965517241381</v>
      </c>
      <c r="V453" s="4">
        <f>supply_chain_data[[#This Row],[Closing Stock]]/supply_chain_data[[#This Row],[Forecast Demand]]</f>
        <v>8.4482758620689662</v>
      </c>
      <c r="W453">
        <v>366765</v>
      </c>
    </row>
    <row r="454" spans="1:23" hidden="1" x14ac:dyDescent="0.35">
      <c r="A454" t="s">
        <v>28</v>
      </c>
      <c r="B454" t="s">
        <v>29</v>
      </c>
      <c r="C454" t="s">
        <v>20</v>
      </c>
      <c r="D454" t="s">
        <v>37</v>
      </c>
      <c r="E454" t="s">
        <v>38</v>
      </c>
      <c r="F454" t="s">
        <v>30</v>
      </c>
      <c r="G454" s="3">
        <v>45384</v>
      </c>
      <c r="H454">
        <v>186</v>
      </c>
      <c r="I454">
        <v>28</v>
      </c>
      <c r="J454" t="str">
        <f>IF(supply_chain_data[[#This Row],[Units Sold]]&gt;supply_chain_data[[#This Row],[Opening Stock]],"Yes","No")</f>
        <v>No</v>
      </c>
      <c r="K454">
        <v>34</v>
      </c>
      <c r="L454">
        <f>supply_chain_data[[#This Row],[Opening Stock]]+supply_chain_data[[#This Row],[Units Received]]-supply_chain_data[[#This Row],[Units Sold]]</f>
        <v>192</v>
      </c>
      <c r="M454">
        <v>192</v>
      </c>
      <c r="N454">
        <v>99</v>
      </c>
      <c r="O454" s="2">
        <v>644</v>
      </c>
      <c r="P454">
        <v>4</v>
      </c>
      <c r="Q454">
        <v>10</v>
      </c>
      <c r="R45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54" t="s">
        <v>24</v>
      </c>
      <c r="T454">
        <v>54</v>
      </c>
      <c r="U454" s="5">
        <f>MAX(0,MIN(1,1-ABS(supply_chain_data[[#This Row],[Forecast Demand]]-supply_chain_data[[#This Row],[Units Sold]])/supply_chain_data[[#This Row],[Forecast Demand]]))</f>
        <v>0.5185185185185186</v>
      </c>
      <c r="V454" s="4">
        <f>supply_chain_data[[#This Row],[Closing Stock]]/supply_chain_data[[#This Row],[Forecast Demand]]</f>
        <v>3.5555555555555554</v>
      </c>
      <c r="W454">
        <v>123648</v>
      </c>
    </row>
    <row r="455" spans="1:23" x14ac:dyDescent="0.35">
      <c r="A455" t="s">
        <v>18</v>
      </c>
      <c r="B455" t="s">
        <v>19</v>
      </c>
      <c r="C455" t="s">
        <v>20</v>
      </c>
      <c r="D455" t="s">
        <v>21</v>
      </c>
      <c r="E455" t="s">
        <v>27</v>
      </c>
      <c r="F455" t="s">
        <v>23</v>
      </c>
      <c r="G455" s="3">
        <v>45385</v>
      </c>
      <c r="H455">
        <v>269</v>
      </c>
      <c r="I455">
        <v>22</v>
      </c>
      <c r="J455" t="str">
        <f>IF(supply_chain_data[[#This Row],[Units Sold]]&gt;supply_chain_data[[#This Row],[Opening Stock]],"Yes","No")</f>
        <v>No</v>
      </c>
      <c r="K455">
        <v>35</v>
      </c>
      <c r="L455">
        <f>supply_chain_data[[#This Row],[Opening Stock]]+supply_chain_data[[#This Row],[Units Received]]-supply_chain_data[[#This Row],[Units Sold]]</f>
        <v>282</v>
      </c>
      <c r="M455">
        <v>282</v>
      </c>
      <c r="N455">
        <v>99</v>
      </c>
      <c r="O455" s="2">
        <v>817</v>
      </c>
      <c r="P455">
        <v>10</v>
      </c>
      <c r="Q455">
        <v>6</v>
      </c>
      <c r="R45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55" t="s">
        <v>24</v>
      </c>
      <c r="T455">
        <v>29</v>
      </c>
      <c r="U455" s="5">
        <f>MAX(0,MIN(1,1-ABS(supply_chain_data[[#This Row],[Forecast Demand]]-supply_chain_data[[#This Row],[Units Sold]])/supply_chain_data[[#This Row],[Forecast Demand]]))</f>
        <v>0.75862068965517238</v>
      </c>
      <c r="V455" s="4">
        <f>supply_chain_data[[#This Row],[Closing Stock]]/supply_chain_data[[#This Row],[Forecast Demand]]</f>
        <v>9.7241379310344822</v>
      </c>
      <c r="W455">
        <v>230394</v>
      </c>
    </row>
    <row r="456" spans="1:23" hidden="1" x14ac:dyDescent="0.35">
      <c r="A456" t="s">
        <v>18</v>
      </c>
      <c r="B456" t="s">
        <v>19</v>
      </c>
      <c r="C456" t="s">
        <v>20</v>
      </c>
      <c r="D456" t="s">
        <v>43</v>
      </c>
      <c r="E456" t="s">
        <v>48</v>
      </c>
      <c r="F456" t="s">
        <v>30</v>
      </c>
      <c r="G456" s="3">
        <v>45386</v>
      </c>
      <c r="H456">
        <v>92</v>
      </c>
      <c r="I456">
        <v>11</v>
      </c>
      <c r="J456" t="str">
        <f>IF(supply_chain_data[[#This Row],[Units Sold]]&gt;supply_chain_data[[#This Row],[Opening Stock]],"Yes","No")</f>
        <v>No</v>
      </c>
      <c r="K456">
        <v>20</v>
      </c>
      <c r="L456">
        <f>supply_chain_data[[#This Row],[Opening Stock]]+supply_chain_data[[#This Row],[Units Received]]-supply_chain_data[[#This Row],[Units Sold]]</f>
        <v>101</v>
      </c>
      <c r="M456">
        <v>101</v>
      </c>
      <c r="N456">
        <v>96</v>
      </c>
      <c r="O456" s="2">
        <v>929</v>
      </c>
      <c r="P456">
        <v>2</v>
      </c>
      <c r="Q456">
        <v>1</v>
      </c>
      <c r="R45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456" t="s">
        <v>24</v>
      </c>
      <c r="T456">
        <v>64</v>
      </c>
      <c r="U456" s="5">
        <f>MAX(0,MIN(1,1-ABS(supply_chain_data[[#This Row],[Forecast Demand]]-supply_chain_data[[#This Row],[Units Sold]])/supply_chain_data[[#This Row],[Forecast Demand]]))</f>
        <v>0.171875</v>
      </c>
      <c r="V456" s="4">
        <f>supply_chain_data[[#This Row],[Closing Stock]]/supply_chain_data[[#This Row],[Forecast Demand]]</f>
        <v>1.578125</v>
      </c>
      <c r="W456">
        <v>93829</v>
      </c>
    </row>
    <row r="457" spans="1:23" x14ac:dyDescent="0.35">
      <c r="A457" t="s">
        <v>34</v>
      </c>
      <c r="B457" t="s">
        <v>35</v>
      </c>
      <c r="C457" t="s">
        <v>20</v>
      </c>
      <c r="D457" t="s">
        <v>39</v>
      </c>
      <c r="E457" t="s">
        <v>40</v>
      </c>
      <c r="F457" t="s">
        <v>33</v>
      </c>
      <c r="G457" s="3">
        <v>45387</v>
      </c>
      <c r="H457">
        <v>286</v>
      </c>
      <c r="I457">
        <v>41</v>
      </c>
      <c r="J457" t="str">
        <f>IF(supply_chain_data[[#This Row],[Units Sold]]&gt;supply_chain_data[[#This Row],[Opening Stock]],"Yes","No")</f>
        <v>No</v>
      </c>
      <c r="K457">
        <v>48</v>
      </c>
      <c r="L457">
        <f>supply_chain_data[[#This Row],[Opening Stock]]+supply_chain_data[[#This Row],[Units Received]]-supply_chain_data[[#This Row],[Units Sold]]</f>
        <v>293</v>
      </c>
      <c r="M457">
        <v>293</v>
      </c>
      <c r="N457">
        <v>65</v>
      </c>
      <c r="O457" s="2">
        <v>1325</v>
      </c>
      <c r="P457">
        <v>5</v>
      </c>
      <c r="Q457">
        <v>2</v>
      </c>
      <c r="R45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57" t="s">
        <v>24</v>
      </c>
      <c r="T457">
        <v>65</v>
      </c>
      <c r="U457" s="5">
        <f>MAX(0,MIN(1,1-ABS(supply_chain_data[[#This Row],[Forecast Demand]]-supply_chain_data[[#This Row],[Units Sold]])/supply_chain_data[[#This Row],[Forecast Demand]]))</f>
        <v>0.63076923076923075</v>
      </c>
      <c r="V457" s="4">
        <f>supply_chain_data[[#This Row],[Closing Stock]]/supply_chain_data[[#This Row],[Forecast Demand]]</f>
        <v>4.5076923076923077</v>
      </c>
      <c r="W457">
        <v>388225</v>
      </c>
    </row>
    <row r="458" spans="1:23" hidden="1" x14ac:dyDescent="0.35">
      <c r="A458" t="s">
        <v>34</v>
      </c>
      <c r="B458" t="s">
        <v>35</v>
      </c>
      <c r="C458" t="s">
        <v>20</v>
      </c>
      <c r="D458" t="s">
        <v>31</v>
      </c>
      <c r="E458" t="s">
        <v>47</v>
      </c>
      <c r="F458" t="s">
        <v>23</v>
      </c>
      <c r="G458" s="3">
        <v>45388</v>
      </c>
      <c r="H458">
        <v>96</v>
      </c>
      <c r="I458">
        <v>28</v>
      </c>
      <c r="J458" t="str">
        <f>IF(supply_chain_data[[#This Row],[Units Sold]]&gt;supply_chain_data[[#This Row],[Opening Stock]],"Yes","No")</f>
        <v>No</v>
      </c>
      <c r="K458">
        <v>2</v>
      </c>
      <c r="L458">
        <f>supply_chain_data[[#This Row],[Opening Stock]]+supply_chain_data[[#This Row],[Units Received]]-supply_chain_data[[#This Row],[Units Sold]]</f>
        <v>70</v>
      </c>
      <c r="M458">
        <v>70</v>
      </c>
      <c r="N458">
        <v>97</v>
      </c>
      <c r="O458" s="2">
        <v>696</v>
      </c>
      <c r="P458">
        <v>10</v>
      </c>
      <c r="Q458">
        <v>5</v>
      </c>
      <c r="R45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Low</v>
      </c>
      <c r="S458" t="s">
        <v>36</v>
      </c>
      <c r="T458">
        <v>68</v>
      </c>
      <c r="U458" s="5">
        <f>MAX(0,MIN(1,1-ABS(supply_chain_data[[#This Row],[Forecast Demand]]-supply_chain_data[[#This Row],[Units Sold]])/supply_chain_data[[#This Row],[Forecast Demand]]))</f>
        <v>0.41176470588235292</v>
      </c>
      <c r="V458" s="4">
        <f>supply_chain_data[[#This Row],[Closing Stock]]/supply_chain_data[[#This Row],[Forecast Demand]]</f>
        <v>1.0294117647058822</v>
      </c>
      <c r="W458">
        <v>48720</v>
      </c>
    </row>
    <row r="459" spans="1:23" hidden="1" x14ac:dyDescent="0.35">
      <c r="A459" t="s">
        <v>28</v>
      </c>
      <c r="B459" t="s">
        <v>29</v>
      </c>
      <c r="C459" t="s">
        <v>20</v>
      </c>
      <c r="D459" t="s">
        <v>37</v>
      </c>
      <c r="E459" t="s">
        <v>38</v>
      </c>
      <c r="F459" t="s">
        <v>33</v>
      </c>
      <c r="G459" s="3">
        <v>45389</v>
      </c>
      <c r="H459">
        <v>82</v>
      </c>
      <c r="I459">
        <v>7</v>
      </c>
      <c r="J459" t="str">
        <f>IF(supply_chain_data[[#This Row],[Units Sold]]&gt;supply_chain_data[[#This Row],[Opening Stock]],"Yes","No")</f>
        <v>No</v>
      </c>
      <c r="K459">
        <v>26</v>
      </c>
      <c r="L459">
        <f>supply_chain_data[[#This Row],[Opening Stock]]+supply_chain_data[[#This Row],[Units Received]]-supply_chain_data[[#This Row],[Units Sold]]</f>
        <v>101</v>
      </c>
      <c r="M459">
        <v>101</v>
      </c>
      <c r="N459">
        <v>42</v>
      </c>
      <c r="O459" s="2">
        <v>1064</v>
      </c>
      <c r="P459">
        <v>9</v>
      </c>
      <c r="Q459">
        <v>10</v>
      </c>
      <c r="R45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459" t="s">
        <v>24</v>
      </c>
      <c r="T459">
        <v>65</v>
      </c>
      <c r="U459" s="5">
        <f>MAX(0,MIN(1,1-ABS(supply_chain_data[[#This Row],[Forecast Demand]]-supply_chain_data[[#This Row],[Units Sold]])/supply_chain_data[[#This Row],[Forecast Demand]]))</f>
        <v>0.10769230769230764</v>
      </c>
      <c r="V459" s="4">
        <f>supply_chain_data[[#This Row],[Closing Stock]]/supply_chain_data[[#This Row],[Forecast Demand]]</f>
        <v>1.5538461538461539</v>
      </c>
      <c r="W459">
        <v>107464</v>
      </c>
    </row>
    <row r="460" spans="1:23" hidden="1" x14ac:dyDescent="0.35">
      <c r="A460" t="s">
        <v>28</v>
      </c>
      <c r="B460" t="s">
        <v>29</v>
      </c>
      <c r="C460" t="s">
        <v>20</v>
      </c>
      <c r="D460" t="s">
        <v>31</v>
      </c>
      <c r="E460" t="s">
        <v>47</v>
      </c>
      <c r="F460" t="s">
        <v>30</v>
      </c>
      <c r="G460" s="3">
        <v>45390</v>
      </c>
      <c r="H460">
        <v>62</v>
      </c>
      <c r="I460">
        <v>16</v>
      </c>
      <c r="J460" t="str">
        <f>IF(supply_chain_data[[#This Row],[Units Sold]]&gt;supply_chain_data[[#This Row],[Opening Stock]],"Yes","No")</f>
        <v>No</v>
      </c>
      <c r="K460">
        <v>24</v>
      </c>
      <c r="L460">
        <f>supply_chain_data[[#This Row],[Opening Stock]]+supply_chain_data[[#This Row],[Units Received]]-supply_chain_data[[#This Row],[Units Sold]]</f>
        <v>70</v>
      </c>
      <c r="M460">
        <v>70</v>
      </c>
      <c r="N460">
        <v>65</v>
      </c>
      <c r="O460" s="2">
        <v>410</v>
      </c>
      <c r="P460">
        <v>9</v>
      </c>
      <c r="Q460">
        <v>10</v>
      </c>
      <c r="R46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460" t="s">
        <v>24</v>
      </c>
      <c r="T460">
        <v>56</v>
      </c>
      <c r="U460" s="5">
        <f>MAX(0,MIN(1,1-ABS(supply_chain_data[[#This Row],[Forecast Demand]]-supply_chain_data[[#This Row],[Units Sold]])/supply_chain_data[[#This Row],[Forecast Demand]]))</f>
        <v>0.2857142857142857</v>
      </c>
      <c r="V460" s="4">
        <f>supply_chain_data[[#This Row],[Closing Stock]]/supply_chain_data[[#This Row],[Forecast Demand]]</f>
        <v>1.25</v>
      </c>
      <c r="W460">
        <v>28700</v>
      </c>
    </row>
    <row r="461" spans="1:23" x14ac:dyDescent="0.35">
      <c r="A461" t="s">
        <v>41</v>
      </c>
      <c r="B461" t="s">
        <v>42</v>
      </c>
      <c r="C461" t="s">
        <v>20</v>
      </c>
      <c r="D461" t="s">
        <v>21</v>
      </c>
      <c r="E461" t="s">
        <v>22</v>
      </c>
      <c r="F461" t="s">
        <v>33</v>
      </c>
      <c r="G461" s="3">
        <v>45391</v>
      </c>
      <c r="H461">
        <v>207</v>
      </c>
      <c r="I461">
        <v>32</v>
      </c>
      <c r="J461" t="str">
        <f>IF(supply_chain_data[[#This Row],[Units Sold]]&gt;supply_chain_data[[#This Row],[Opening Stock]],"Yes","No")</f>
        <v>No</v>
      </c>
      <c r="K461">
        <v>51</v>
      </c>
      <c r="L461">
        <f>supply_chain_data[[#This Row],[Opening Stock]]+supply_chain_data[[#This Row],[Units Received]]-supply_chain_data[[#This Row],[Units Sold]]</f>
        <v>226</v>
      </c>
      <c r="M461">
        <v>226</v>
      </c>
      <c r="N461">
        <v>47</v>
      </c>
      <c r="O461" s="2">
        <v>381</v>
      </c>
      <c r="P461">
        <v>5</v>
      </c>
      <c r="Q461">
        <v>3</v>
      </c>
      <c r="R46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61" t="s">
        <v>24</v>
      </c>
      <c r="T461">
        <v>29</v>
      </c>
      <c r="U461" s="5">
        <f>MAX(0,MIN(1,1-ABS(supply_chain_data[[#This Row],[Forecast Demand]]-supply_chain_data[[#This Row],[Units Sold]])/supply_chain_data[[#This Row],[Forecast Demand]]))</f>
        <v>0.89655172413793105</v>
      </c>
      <c r="V461" s="4">
        <f>supply_chain_data[[#This Row],[Closing Stock]]/supply_chain_data[[#This Row],[Forecast Demand]]</f>
        <v>7.7931034482758621</v>
      </c>
      <c r="W461">
        <v>86106</v>
      </c>
    </row>
    <row r="462" spans="1:23" hidden="1" x14ac:dyDescent="0.35">
      <c r="A462" t="s">
        <v>25</v>
      </c>
      <c r="B462" t="s">
        <v>26</v>
      </c>
      <c r="C462" t="s">
        <v>20</v>
      </c>
      <c r="D462" t="s">
        <v>43</v>
      </c>
      <c r="E462" t="s">
        <v>44</v>
      </c>
      <c r="F462" t="s">
        <v>33</v>
      </c>
      <c r="G462" s="3">
        <v>45392</v>
      </c>
      <c r="H462">
        <v>91</v>
      </c>
      <c r="I462">
        <v>46</v>
      </c>
      <c r="J462" t="str">
        <f>IF(supply_chain_data[[#This Row],[Units Sold]]&gt;supply_chain_data[[#This Row],[Opening Stock]],"Yes","No")</f>
        <v>No</v>
      </c>
      <c r="K462">
        <v>74</v>
      </c>
      <c r="L462">
        <f>supply_chain_data[[#This Row],[Opening Stock]]+supply_chain_data[[#This Row],[Units Received]]-supply_chain_data[[#This Row],[Units Sold]]</f>
        <v>119</v>
      </c>
      <c r="M462">
        <v>119</v>
      </c>
      <c r="N462">
        <v>62</v>
      </c>
      <c r="O462" s="2">
        <v>1337</v>
      </c>
      <c r="P462">
        <v>3</v>
      </c>
      <c r="Q462">
        <v>8</v>
      </c>
      <c r="R46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62" t="s">
        <v>24</v>
      </c>
      <c r="T462">
        <v>56</v>
      </c>
      <c r="U462" s="5">
        <f>MAX(0,MIN(1,1-ABS(supply_chain_data[[#This Row],[Forecast Demand]]-supply_chain_data[[#This Row],[Units Sold]])/supply_chain_data[[#This Row],[Forecast Demand]]))</f>
        <v>0.8214285714285714</v>
      </c>
      <c r="V462" s="4">
        <f>supply_chain_data[[#This Row],[Closing Stock]]/supply_chain_data[[#This Row],[Forecast Demand]]</f>
        <v>2.125</v>
      </c>
      <c r="W462">
        <v>159103</v>
      </c>
    </row>
    <row r="463" spans="1:23" x14ac:dyDescent="0.35">
      <c r="A463" t="s">
        <v>28</v>
      </c>
      <c r="B463" t="s">
        <v>29</v>
      </c>
      <c r="C463" t="s">
        <v>20</v>
      </c>
      <c r="D463" t="s">
        <v>21</v>
      </c>
      <c r="E463" t="s">
        <v>27</v>
      </c>
      <c r="F463" t="s">
        <v>23</v>
      </c>
      <c r="G463" s="3">
        <v>45393</v>
      </c>
      <c r="H463">
        <v>231</v>
      </c>
      <c r="I463">
        <v>8</v>
      </c>
      <c r="J463" t="str">
        <f>IF(supply_chain_data[[#This Row],[Units Sold]]&gt;supply_chain_data[[#This Row],[Opening Stock]],"Yes","No")</f>
        <v>No</v>
      </c>
      <c r="K463">
        <v>38</v>
      </c>
      <c r="L463">
        <f>supply_chain_data[[#This Row],[Opening Stock]]+supply_chain_data[[#This Row],[Units Received]]-supply_chain_data[[#This Row],[Units Sold]]</f>
        <v>261</v>
      </c>
      <c r="M463">
        <v>261</v>
      </c>
      <c r="N463">
        <v>50</v>
      </c>
      <c r="O463" s="2">
        <v>551</v>
      </c>
      <c r="P463">
        <v>12</v>
      </c>
      <c r="Q463">
        <v>0</v>
      </c>
      <c r="R46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63" t="s">
        <v>24</v>
      </c>
      <c r="T463">
        <v>46</v>
      </c>
      <c r="U463" s="5">
        <f>MAX(0,MIN(1,1-ABS(supply_chain_data[[#This Row],[Forecast Demand]]-supply_chain_data[[#This Row],[Units Sold]])/supply_chain_data[[#This Row],[Forecast Demand]]))</f>
        <v>0.17391304347826086</v>
      </c>
      <c r="V463" s="4">
        <f>supply_chain_data[[#This Row],[Closing Stock]]/supply_chain_data[[#This Row],[Forecast Demand]]</f>
        <v>5.6739130434782608</v>
      </c>
      <c r="W463">
        <v>143811</v>
      </c>
    </row>
    <row r="464" spans="1:23" hidden="1" x14ac:dyDescent="0.35">
      <c r="A464" t="s">
        <v>18</v>
      </c>
      <c r="B464" t="s">
        <v>19</v>
      </c>
      <c r="C464" t="s">
        <v>20</v>
      </c>
      <c r="D464" t="s">
        <v>39</v>
      </c>
      <c r="E464" t="s">
        <v>45</v>
      </c>
      <c r="F464" t="s">
        <v>33</v>
      </c>
      <c r="G464" s="3">
        <v>45394</v>
      </c>
      <c r="H464">
        <v>120</v>
      </c>
      <c r="I464">
        <v>56</v>
      </c>
      <c r="J464" t="str">
        <f>IF(supply_chain_data[[#This Row],[Units Sold]]&gt;supply_chain_data[[#This Row],[Opening Stock]],"Yes","No")</f>
        <v>No</v>
      </c>
      <c r="K464">
        <v>69</v>
      </c>
      <c r="L464">
        <f>supply_chain_data[[#This Row],[Opening Stock]]+supply_chain_data[[#This Row],[Units Received]]-supply_chain_data[[#This Row],[Units Sold]]</f>
        <v>133</v>
      </c>
      <c r="M464">
        <v>133</v>
      </c>
      <c r="N464">
        <v>77</v>
      </c>
      <c r="O464" s="2">
        <v>122</v>
      </c>
      <c r="P464">
        <v>6</v>
      </c>
      <c r="Q464">
        <v>6</v>
      </c>
      <c r="R46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64" t="s">
        <v>24</v>
      </c>
      <c r="T464">
        <v>47</v>
      </c>
      <c r="U464" s="5">
        <f>MAX(0,MIN(1,1-ABS(supply_chain_data[[#This Row],[Forecast Demand]]-supply_chain_data[[#This Row],[Units Sold]])/supply_chain_data[[#This Row],[Forecast Demand]]))</f>
        <v>0.8085106382978724</v>
      </c>
      <c r="V464" s="4">
        <f>supply_chain_data[[#This Row],[Closing Stock]]/supply_chain_data[[#This Row],[Forecast Demand]]</f>
        <v>2.8297872340425534</v>
      </c>
      <c r="W464">
        <v>16226</v>
      </c>
    </row>
    <row r="465" spans="1:23" x14ac:dyDescent="0.35">
      <c r="A465" t="s">
        <v>28</v>
      </c>
      <c r="B465" t="s">
        <v>29</v>
      </c>
      <c r="C465" t="s">
        <v>20</v>
      </c>
      <c r="D465" t="s">
        <v>31</v>
      </c>
      <c r="E465" t="s">
        <v>32</v>
      </c>
      <c r="F465" t="s">
        <v>33</v>
      </c>
      <c r="G465" s="3">
        <v>45395</v>
      </c>
      <c r="H465">
        <v>131</v>
      </c>
      <c r="I465">
        <v>10</v>
      </c>
      <c r="J465" t="str">
        <f>IF(supply_chain_data[[#This Row],[Units Sold]]&gt;supply_chain_data[[#This Row],[Opening Stock]],"Yes","No")</f>
        <v>No</v>
      </c>
      <c r="K465">
        <v>38</v>
      </c>
      <c r="L465">
        <f>supply_chain_data[[#This Row],[Opening Stock]]+supply_chain_data[[#This Row],[Units Received]]-supply_chain_data[[#This Row],[Units Sold]]</f>
        <v>159</v>
      </c>
      <c r="M465">
        <v>159</v>
      </c>
      <c r="N465">
        <v>53</v>
      </c>
      <c r="O465" s="2">
        <v>742</v>
      </c>
      <c r="P465">
        <v>5</v>
      </c>
      <c r="Q465">
        <v>3</v>
      </c>
      <c r="R46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65" t="s">
        <v>24</v>
      </c>
      <c r="T465">
        <v>13</v>
      </c>
      <c r="U465" s="5">
        <f>MAX(0,MIN(1,1-ABS(supply_chain_data[[#This Row],[Forecast Demand]]-supply_chain_data[[#This Row],[Units Sold]])/supply_chain_data[[#This Row],[Forecast Demand]]))</f>
        <v>0.76923076923076916</v>
      </c>
      <c r="V465" s="4">
        <f>supply_chain_data[[#This Row],[Closing Stock]]/supply_chain_data[[#This Row],[Forecast Demand]]</f>
        <v>12.23076923076923</v>
      </c>
      <c r="W465">
        <v>117978</v>
      </c>
    </row>
    <row r="466" spans="1:23" hidden="1" x14ac:dyDescent="0.35">
      <c r="A466" t="s">
        <v>28</v>
      </c>
      <c r="B466" t="s">
        <v>29</v>
      </c>
      <c r="C466" t="s">
        <v>20</v>
      </c>
      <c r="D466" t="s">
        <v>21</v>
      </c>
      <c r="E466" t="s">
        <v>27</v>
      </c>
      <c r="F466" t="s">
        <v>33</v>
      </c>
      <c r="G466" s="3">
        <v>45396</v>
      </c>
      <c r="H466">
        <v>103</v>
      </c>
      <c r="I466">
        <v>40</v>
      </c>
      <c r="J466" t="str">
        <f>IF(supply_chain_data[[#This Row],[Units Sold]]&gt;supply_chain_data[[#This Row],[Opening Stock]],"Yes","No")</f>
        <v>No</v>
      </c>
      <c r="K466">
        <v>34</v>
      </c>
      <c r="L466">
        <f>supply_chain_data[[#This Row],[Opening Stock]]+supply_chain_data[[#This Row],[Units Received]]-supply_chain_data[[#This Row],[Units Sold]]</f>
        <v>97</v>
      </c>
      <c r="M466">
        <v>97</v>
      </c>
      <c r="N466">
        <v>79</v>
      </c>
      <c r="O466" s="2">
        <v>273</v>
      </c>
      <c r="P466">
        <v>11</v>
      </c>
      <c r="Q466">
        <v>8</v>
      </c>
      <c r="R46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466" t="s">
        <v>24</v>
      </c>
      <c r="T466">
        <v>59</v>
      </c>
      <c r="U466" s="5">
        <f>MAX(0,MIN(1,1-ABS(supply_chain_data[[#This Row],[Forecast Demand]]-supply_chain_data[[#This Row],[Units Sold]])/supply_chain_data[[#This Row],[Forecast Demand]]))</f>
        <v>0.67796610169491522</v>
      </c>
      <c r="V466" s="4">
        <f>supply_chain_data[[#This Row],[Closing Stock]]/supply_chain_data[[#This Row],[Forecast Demand]]</f>
        <v>1.6440677966101696</v>
      </c>
      <c r="W466">
        <v>26481</v>
      </c>
    </row>
    <row r="467" spans="1:23" x14ac:dyDescent="0.35">
      <c r="A467" t="s">
        <v>25</v>
      </c>
      <c r="B467" t="s">
        <v>26</v>
      </c>
      <c r="C467" t="s">
        <v>20</v>
      </c>
      <c r="D467" t="s">
        <v>37</v>
      </c>
      <c r="E467" t="s">
        <v>38</v>
      </c>
      <c r="F467" t="s">
        <v>23</v>
      </c>
      <c r="G467" s="3">
        <v>45397</v>
      </c>
      <c r="H467">
        <v>174</v>
      </c>
      <c r="I467">
        <v>9</v>
      </c>
      <c r="J467" t="str">
        <f>IF(supply_chain_data[[#This Row],[Units Sold]]&gt;supply_chain_data[[#This Row],[Opening Stock]],"Yes","No")</f>
        <v>No</v>
      </c>
      <c r="K467">
        <v>2</v>
      </c>
      <c r="L467">
        <f>supply_chain_data[[#This Row],[Opening Stock]]+supply_chain_data[[#This Row],[Units Received]]-supply_chain_data[[#This Row],[Units Sold]]</f>
        <v>167</v>
      </c>
      <c r="M467">
        <v>167</v>
      </c>
      <c r="N467">
        <v>47</v>
      </c>
      <c r="O467" s="2">
        <v>1420</v>
      </c>
      <c r="P467">
        <v>3</v>
      </c>
      <c r="Q467">
        <v>3</v>
      </c>
      <c r="R46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67" t="s">
        <v>24</v>
      </c>
      <c r="T467">
        <v>12</v>
      </c>
      <c r="U467" s="5">
        <f>MAX(0,MIN(1,1-ABS(supply_chain_data[[#This Row],[Forecast Demand]]-supply_chain_data[[#This Row],[Units Sold]])/supply_chain_data[[#This Row],[Forecast Demand]]))</f>
        <v>0.75</v>
      </c>
      <c r="V467" s="4">
        <f>supply_chain_data[[#This Row],[Closing Stock]]/supply_chain_data[[#This Row],[Forecast Demand]]</f>
        <v>13.916666666666666</v>
      </c>
      <c r="W467">
        <v>237140</v>
      </c>
    </row>
    <row r="468" spans="1:23" x14ac:dyDescent="0.35">
      <c r="A468" t="s">
        <v>25</v>
      </c>
      <c r="B468" t="s">
        <v>26</v>
      </c>
      <c r="C468" t="s">
        <v>20</v>
      </c>
      <c r="D468" t="s">
        <v>43</v>
      </c>
      <c r="E468" t="s">
        <v>44</v>
      </c>
      <c r="F468" t="s">
        <v>23</v>
      </c>
      <c r="G468" s="3">
        <v>45398</v>
      </c>
      <c r="H468">
        <v>76</v>
      </c>
      <c r="I468">
        <v>25</v>
      </c>
      <c r="J468" t="str">
        <f>IF(supply_chain_data[[#This Row],[Units Sold]]&gt;supply_chain_data[[#This Row],[Opening Stock]],"Yes","No")</f>
        <v>No</v>
      </c>
      <c r="K468">
        <v>21</v>
      </c>
      <c r="L468">
        <f>supply_chain_data[[#This Row],[Opening Stock]]+supply_chain_data[[#This Row],[Units Received]]-supply_chain_data[[#This Row],[Units Sold]]</f>
        <v>72</v>
      </c>
      <c r="M468">
        <v>72</v>
      </c>
      <c r="N468">
        <v>71</v>
      </c>
      <c r="O468" s="2">
        <v>664</v>
      </c>
      <c r="P468">
        <v>8</v>
      </c>
      <c r="Q468">
        <v>5</v>
      </c>
      <c r="R46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68" t="s">
        <v>24</v>
      </c>
      <c r="T468">
        <v>13</v>
      </c>
      <c r="U468" s="5">
        <f>MAX(0,MIN(1,1-ABS(supply_chain_data[[#This Row],[Forecast Demand]]-supply_chain_data[[#This Row],[Units Sold]])/supply_chain_data[[#This Row],[Forecast Demand]]))</f>
        <v>7.6923076923076872E-2</v>
      </c>
      <c r="V468" s="4">
        <f>supply_chain_data[[#This Row],[Closing Stock]]/supply_chain_data[[#This Row],[Forecast Demand]]</f>
        <v>5.5384615384615383</v>
      </c>
      <c r="W468">
        <v>47808</v>
      </c>
    </row>
    <row r="469" spans="1:23" x14ac:dyDescent="0.35">
      <c r="A469" t="s">
        <v>25</v>
      </c>
      <c r="B469" t="s">
        <v>26</v>
      </c>
      <c r="C469" t="s">
        <v>20</v>
      </c>
      <c r="D469" t="s">
        <v>39</v>
      </c>
      <c r="E469" t="s">
        <v>40</v>
      </c>
      <c r="F469" t="s">
        <v>23</v>
      </c>
      <c r="G469" s="3">
        <v>45399</v>
      </c>
      <c r="H469">
        <v>124</v>
      </c>
      <c r="I469">
        <v>8</v>
      </c>
      <c r="J469" t="str">
        <f>IF(supply_chain_data[[#This Row],[Units Sold]]&gt;supply_chain_data[[#This Row],[Opening Stock]],"Yes","No")</f>
        <v>No</v>
      </c>
      <c r="K469">
        <v>62</v>
      </c>
      <c r="L469">
        <f>supply_chain_data[[#This Row],[Opening Stock]]+supply_chain_data[[#This Row],[Units Received]]-supply_chain_data[[#This Row],[Units Sold]]</f>
        <v>178</v>
      </c>
      <c r="M469">
        <v>178</v>
      </c>
      <c r="N469">
        <v>100</v>
      </c>
      <c r="O469" s="2">
        <v>1226</v>
      </c>
      <c r="P469">
        <v>5</v>
      </c>
      <c r="Q469">
        <v>4</v>
      </c>
      <c r="R46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69" t="s">
        <v>24</v>
      </c>
      <c r="T469">
        <v>40</v>
      </c>
      <c r="U469" s="5">
        <f>MAX(0,MIN(1,1-ABS(supply_chain_data[[#This Row],[Forecast Demand]]-supply_chain_data[[#This Row],[Units Sold]])/supply_chain_data[[#This Row],[Forecast Demand]]))</f>
        <v>0.19999999999999996</v>
      </c>
      <c r="V469" s="4">
        <f>supply_chain_data[[#This Row],[Closing Stock]]/supply_chain_data[[#This Row],[Forecast Demand]]</f>
        <v>4.45</v>
      </c>
      <c r="W469">
        <v>218228</v>
      </c>
    </row>
    <row r="470" spans="1:23" x14ac:dyDescent="0.35">
      <c r="A470" t="s">
        <v>41</v>
      </c>
      <c r="B470" t="s">
        <v>42</v>
      </c>
      <c r="C470" t="s">
        <v>20</v>
      </c>
      <c r="D470" t="s">
        <v>21</v>
      </c>
      <c r="E470" t="s">
        <v>27</v>
      </c>
      <c r="F470" t="s">
        <v>23</v>
      </c>
      <c r="G470" s="3">
        <v>45400</v>
      </c>
      <c r="H470">
        <v>235</v>
      </c>
      <c r="I470">
        <v>17</v>
      </c>
      <c r="J470" t="str">
        <f>IF(supply_chain_data[[#This Row],[Units Sold]]&gt;supply_chain_data[[#This Row],[Opening Stock]],"Yes","No")</f>
        <v>No</v>
      </c>
      <c r="K470">
        <v>30</v>
      </c>
      <c r="L470">
        <f>supply_chain_data[[#This Row],[Opening Stock]]+supply_chain_data[[#This Row],[Units Received]]-supply_chain_data[[#This Row],[Units Sold]]</f>
        <v>248</v>
      </c>
      <c r="M470">
        <v>248</v>
      </c>
      <c r="N470">
        <v>66</v>
      </c>
      <c r="O470" s="2">
        <v>976</v>
      </c>
      <c r="P470">
        <v>4</v>
      </c>
      <c r="Q470">
        <v>0</v>
      </c>
      <c r="R47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70" t="s">
        <v>24</v>
      </c>
      <c r="T470">
        <v>14</v>
      </c>
      <c r="U470" s="5">
        <f>MAX(0,MIN(1,1-ABS(supply_chain_data[[#This Row],[Forecast Demand]]-supply_chain_data[[#This Row],[Units Sold]])/supply_chain_data[[#This Row],[Forecast Demand]]))</f>
        <v>0.7857142857142857</v>
      </c>
      <c r="V470" s="4">
        <f>supply_chain_data[[#This Row],[Closing Stock]]/supply_chain_data[[#This Row],[Forecast Demand]]</f>
        <v>17.714285714285715</v>
      </c>
      <c r="W470">
        <v>242048</v>
      </c>
    </row>
    <row r="471" spans="1:23" hidden="1" x14ac:dyDescent="0.35">
      <c r="A471" t="s">
        <v>34</v>
      </c>
      <c r="B471" t="s">
        <v>35</v>
      </c>
      <c r="C471" t="s">
        <v>20</v>
      </c>
      <c r="D471" t="s">
        <v>39</v>
      </c>
      <c r="E471" t="s">
        <v>40</v>
      </c>
      <c r="F471" t="s">
        <v>30</v>
      </c>
      <c r="G471" s="3">
        <v>45401</v>
      </c>
      <c r="H471">
        <v>134</v>
      </c>
      <c r="I471">
        <v>48</v>
      </c>
      <c r="J471" t="str">
        <f>IF(supply_chain_data[[#This Row],[Units Sold]]&gt;supply_chain_data[[#This Row],[Opening Stock]],"Yes","No")</f>
        <v>No</v>
      </c>
      <c r="K471">
        <v>49</v>
      </c>
      <c r="L471">
        <f>supply_chain_data[[#This Row],[Opening Stock]]+supply_chain_data[[#This Row],[Units Received]]-supply_chain_data[[#This Row],[Units Sold]]</f>
        <v>135</v>
      </c>
      <c r="M471">
        <v>135</v>
      </c>
      <c r="N471">
        <v>69</v>
      </c>
      <c r="O471" s="2">
        <v>988</v>
      </c>
      <c r="P471">
        <v>14</v>
      </c>
      <c r="Q471">
        <v>5</v>
      </c>
      <c r="R47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71" t="s">
        <v>24</v>
      </c>
      <c r="T471">
        <v>51</v>
      </c>
      <c r="U471" s="5">
        <f>MAX(0,MIN(1,1-ABS(supply_chain_data[[#This Row],[Forecast Demand]]-supply_chain_data[[#This Row],[Units Sold]])/supply_chain_data[[#This Row],[Forecast Demand]]))</f>
        <v>0.94117647058823528</v>
      </c>
      <c r="V471" s="4">
        <f>supply_chain_data[[#This Row],[Closing Stock]]/supply_chain_data[[#This Row],[Forecast Demand]]</f>
        <v>2.6470588235294117</v>
      </c>
      <c r="W471">
        <v>133380</v>
      </c>
    </row>
    <row r="472" spans="1:23" x14ac:dyDescent="0.35">
      <c r="A472" t="s">
        <v>28</v>
      </c>
      <c r="B472" t="s">
        <v>29</v>
      </c>
      <c r="C472" t="s">
        <v>20</v>
      </c>
      <c r="D472" t="s">
        <v>43</v>
      </c>
      <c r="E472" t="s">
        <v>44</v>
      </c>
      <c r="F472" t="s">
        <v>33</v>
      </c>
      <c r="G472" s="3">
        <v>45402</v>
      </c>
      <c r="H472">
        <v>236</v>
      </c>
      <c r="I472">
        <v>30</v>
      </c>
      <c r="J472" t="str">
        <f>IF(supply_chain_data[[#This Row],[Units Sold]]&gt;supply_chain_data[[#This Row],[Opening Stock]],"Yes","No")</f>
        <v>No</v>
      </c>
      <c r="K472">
        <v>67</v>
      </c>
      <c r="L472">
        <f>supply_chain_data[[#This Row],[Opening Stock]]+supply_chain_data[[#This Row],[Units Received]]-supply_chain_data[[#This Row],[Units Sold]]</f>
        <v>273</v>
      </c>
      <c r="M472">
        <v>273</v>
      </c>
      <c r="N472">
        <v>48</v>
      </c>
      <c r="O472" s="2">
        <v>1487</v>
      </c>
      <c r="P472">
        <v>10</v>
      </c>
      <c r="Q472">
        <v>4</v>
      </c>
      <c r="R47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72" t="s">
        <v>24</v>
      </c>
      <c r="T472">
        <v>67</v>
      </c>
      <c r="U472" s="5">
        <f>MAX(0,MIN(1,1-ABS(supply_chain_data[[#This Row],[Forecast Demand]]-supply_chain_data[[#This Row],[Units Sold]])/supply_chain_data[[#This Row],[Forecast Demand]]))</f>
        <v>0.44776119402985071</v>
      </c>
      <c r="V472" s="4">
        <f>supply_chain_data[[#This Row],[Closing Stock]]/supply_chain_data[[#This Row],[Forecast Demand]]</f>
        <v>4.0746268656716422</v>
      </c>
      <c r="W472">
        <v>405951</v>
      </c>
    </row>
    <row r="473" spans="1:23" x14ac:dyDescent="0.35">
      <c r="A473" t="s">
        <v>41</v>
      </c>
      <c r="B473" t="s">
        <v>42</v>
      </c>
      <c r="C473" t="s">
        <v>20</v>
      </c>
      <c r="D473" t="s">
        <v>37</v>
      </c>
      <c r="E473" t="s">
        <v>46</v>
      </c>
      <c r="F473" t="s">
        <v>33</v>
      </c>
      <c r="G473" s="3">
        <v>45403</v>
      </c>
      <c r="H473">
        <v>193</v>
      </c>
      <c r="I473">
        <v>10</v>
      </c>
      <c r="J473" t="str">
        <f>IF(supply_chain_data[[#This Row],[Units Sold]]&gt;supply_chain_data[[#This Row],[Opening Stock]],"Yes","No")</f>
        <v>No</v>
      </c>
      <c r="K473">
        <v>58</v>
      </c>
      <c r="L473">
        <f>supply_chain_data[[#This Row],[Opening Stock]]+supply_chain_data[[#This Row],[Units Received]]-supply_chain_data[[#This Row],[Units Sold]]</f>
        <v>241</v>
      </c>
      <c r="M473">
        <v>241</v>
      </c>
      <c r="N473">
        <v>100</v>
      </c>
      <c r="O473" s="2">
        <v>728</v>
      </c>
      <c r="P473">
        <v>3</v>
      </c>
      <c r="Q473">
        <v>10</v>
      </c>
      <c r="R47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73" t="s">
        <v>24</v>
      </c>
      <c r="T473">
        <v>10</v>
      </c>
      <c r="U473" s="5">
        <f>MAX(0,MIN(1,1-ABS(supply_chain_data[[#This Row],[Forecast Demand]]-supply_chain_data[[#This Row],[Units Sold]])/supply_chain_data[[#This Row],[Forecast Demand]]))</f>
        <v>1</v>
      </c>
      <c r="V473" s="4">
        <f>supply_chain_data[[#This Row],[Closing Stock]]/supply_chain_data[[#This Row],[Forecast Demand]]</f>
        <v>24.1</v>
      </c>
      <c r="W473">
        <v>175448</v>
      </c>
    </row>
    <row r="474" spans="1:23" hidden="1" x14ac:dyDescent="0.35">
      <c r="A474" t="s">
        <v>25</v>
      </c>
      <c r="B474" t="s">
        <v>26</v>
      </c>
      <c r="C474" t="s">
        <v>20</v>
      </c>
      <c r="D474" t="s">
        <v>21</v>
      </c>
      <c r="E474" t="s">
        <v>27</v>
      </c>
      <c r="F474" t="s">
        <v>30</v>
      </c>
      <c r="G474" s="3">
        <v>45404</v>
      </c>
      <c r="H474">
        <v>111</v>
      </c>
      <c r="I474">
        <v>9</v>
      </c>
      <c r="J474" t="str">
        <f>IF(supply_chain_data[[#This Row],[Units Sold]]&gt;supply_chain_data[[#This Row],[Opening Stock]],"Yes","No")</f>
        <v>No</v>
      </c>
      <c r="K474">
        <v>38</v>
      </c>
      <c r="L474">
        <f>supply_chain_data[[#This Row],[Opening Stock]]+supply_chain_data[[#This Row],[Units Received]]-supply_chain_data[[#This Row],[Units Sold]]</f>
        <v>140</v>
      </c>
      <c r="M474">
        <v>140</v>
      </c>
      <c r="N474">
        <v>77</v>
      </c>
      <c r="O474" s="2">
        <v>97</v>
      </c>
      <c r="P474">
        <v>15</v>
      </c>
      <c r="Q474">
        <v>4</v>
      </c>
      <c r="R47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474" t="s">
        <v>24</v>
      </c>
      <c r="T474">
        <v>70</v>
      </c>
      <c r="U474" s="5">
        <f>MAX(0,MIN(1,1-ABS(supply_chain_data[[#This Row],[Forecast Demand]]-supply_chain_data[[#This Row],[Units Sold]])/supply_chain_data[[#This Row],[Forecast Demand]]))</f>
        <v>0.12857142857142856</v>
      </c>
      <c r="V474" s="4">
        <f>supply_chain_data[[#This Row],[Closing Stock]]/supply_chain_data[[#This Row],[Forecast Demand]]</f>
        <v>2</v>
      </c>
      <c r="W474">
        <v>13580</v>
      </c>
    </row>
    <row r="475" spans="1:23" x14ac:dyDescent="0.35">
      <c r="A475" t="s">
        <v>25</v>
      </c>
      <c r="B475" t="s">
        <v>26</v>
      </c>
      <c r="C475" t="s">
        <v>20</v>
      </c>
      <c r="D475" t="s">
        <v>31</v>
      </c>
      <c r="E475" t="s">
        <v>32</v>
      </c>
      <c r="F475" t="s">
        <v>23</v>
      </c>
      <c r="G475" s="3">
        <v>45405</v>
      </c>
      <c r="H475">
        <v>204</v>
      </c>
      <c r="I475">
        <v>37</v>
      </c>
      <c r="J475" t="str">
        <f>IF(supply_chain_data[[#This Row],[Units Sold]]&gt;supply_chain_data[[#This Row],[Opening Stock]],"Yes","No")</f>
        <v>No</v>
      </c>
      <c r="K475">
        <v>77</v>
      </c>
      <c r="L475">
        <f>supply_chain_data[[#This Row],[Opening Stock]]+supply_chain_data[[#This Row],[Units Received]]-supply_chain_data[[#This Row],[Units Sold]]</f>
        <v>244</v>
      </c>
      <c r="M475">
        <v>244</v>
      </c>
      <c r="N475">
        <v>75</v>
      </c>
      <c r="O475" s="2">
        <v>1309</v>
      </c>
      <c r="P475">
        <v>15</v>
      </c>
      <c r="Q475">
        <v>6</v>
      </c>
      <c r="R47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75" t="s">
        <v>24</v>
      </c>
      <c r="T475">
        <v>54</v>
      </c>
      <c r="U475" s="5">
        <f>MAX(0,MIN(1,1-ABS(supply_chain_data[[#This Row],[Forecast Demand]]-supply_chain_data[[#This Row],[Units Sold]])/supply_chain_data[[#This Row],[Forecast Demand]]))</f>
        <v>0.68518518518518512</v>
      </c>
      <c r="V475" s="4">
        <f>supply_chain_data[[#This Row],[Closing Stock]]/supply_chain_data[[#This Row],[Forecast Demand]]</f>
        <v>4.5185185185185182</v>
      </c>
      <c r="W475">
        <v>319396</v>
      </c>
    </row>
    <row r="476" spans="1:23" x14ac:dyDescent="0.35">
      <c r="A476" t="s">
        <v>25</v>
      </c>
      <c r="B476" t="s">
        <v>26</v>
      </c>
      <c r="C476" t="s">
        <v>20</v>
      </c>
      <c r="D476" t="s">
        <v>37</v>
      </c>
      <c r="E476" t="s">
        <v>38</v>
      </c>
      <c r="F476" t="s">
        <v>33</v>
      </c>
      <c r="G476" s="3">
        <v>45406</v>
      </c>
      <c r="H476">
        <v>115</v>
      </c>
      <c r="I476">
        <v>7</v>
      </c>
      <c r="J476" t="str">
        <f>IF(supply_chain_data[[#This Row],[Units Sold]]&gt;supply_chain_data[[#This Row],[Opening Stock]],"Yes","No")</f>
        <v>No</v>
      </c>
      <c r="K476">
        <v>77</v>
      </c>
      <c r="L476">
        <f>supply_chain_data[[#This Row],[Opening Stock]]+supply_chain_data[[#This Row],[Units Received]]-supply_chain_data[[#This Row],[Units Sold]]</f>
        <v>185</v>
      </c>
      <c r="M476">
        <v>185</v>
      </c>
      <c r="N476">
        <v>40</v>
      </c>
      <c r="O476" s="2">
        <v>940</v>
      </c>
      <c r="P476">
        <v>14</v>
      </c>
      <c r="Q476">
        <v>7</v>
      </c>
      <c r="R47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76" t="s">
        <v>24</v>
      </c>
      <c r="T476">
        <v>40</v>
      </c>
      <c r="U476" s="5">
        <f>MAX(0,MIN(1,1-ABS(supply_chain_data[[#This Row],[Forecast Demand]]-supply_chain_data[[#This Row],[Units Sold]])/supply_chain_data[[#This Row],[Forecast Demand]]))</f>
        <v>0.17500000000000004</v>
      </c>
      <c r="V476" s="4">
        <f>supply_chain_data[[#This Row],[Closing Stock]]/supply_chain_data[[#This Row],[Forecast Demand]]</f>
        <v>4.625</v>
      </c>
      <c r="W476">
        <v>173900</v>
      </c>
    </row>
    <row r="477" spans="1:23" x14ac:dyDescent="0.35">
      <c r="A477" t="s">
        <v>41</v>
      </c>
      <c r="B477" t="s">
        <v>42</v>
      </c>
      <c r="C477" t="s">
        <v>20</v>
      </c>
      <c r="D477" t="s">
        <v>37</v>
      </c>
      <c r="E477" t="s">
        <v>46</v>
      </c>
      <c r="F477" t="s">
        <v>23</v>
      </c>
      <c r="G477" s="3">
        <v>45407</v>
      </c>
      <c r="H477">
        <v>184</v>
      </c>
      <c r="I477">
        <v>36</v>
      </c>
      <c r="J477" t="str">
        <f>IF(supply_chain_data[[#This Row],[Units Sold]]&gt;supply_chain_data[[#This Row],[Opening Stock]],"Yes","No")</f>
        <v>No</v>
      </c>
      <c r="K477">
        <v>10</v>
      </c>
      <c r="L477">
        <f>supply_chain_data[[#This Row],[Opening Stock]]+supply_chain_data[[#This Row],[Units Received]]-supply_chain_data[[#This Row],[Units Sold]]</f>
        <v>158</v>
      </c>
      <c r="M477">
        <v>158</v>
      </c>
      <c r="N477">
        <v>100</v>
      </c>
      <c r="O477" s="2">
        <v>159</v>
      </c>
      <c r="P477">
        <v>12</v>
      </c>
      <c r="Q477">
        <v>8</v>
      </c>
      <c r="R47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77" t="s">
        <v>24</v>
      </c>
      <c r="T477">
        <v>19</v>
      </c>
      <c r="U477" s="5">
        <f>MAX(0,MIN(1,1-ABS(supply_chain_data[[#This Row],[Forecast Demand]]-supply_chain_data[[#This Row],[Units Sold]])/supply_chain_data[[#This Row],[Forecast Demand]]))</f>
        <v>0.10526315789473684</v>
      </c>
      <c r="V477" s="4">
        <f>supply_chain_data[[#This Row],[Closing Stock]]/supply_chain_data[[#This Row],[Forecast Demand]]</f>
        <v>8.3157894736842106</v>
      </c>
      <c r="W477">
        <v>25122</v>
      </c>
    </row>
    <row r="478" spans="1:23" hidden="1" x14ac:dyDescent="0.35">
      <c r="A478" t="s">
        <v>18</v>
      </c>
      <c r="B478" t="s">
        <v>19</v>
      </c>
      <c r="C478" t="s">
        <v>20</v>
      </c>
      <c r="D478" t="s">
        <v>39</v>
      </c>
      <c r="E478" t="s">
        <v>45</v>
      </c>
      <c r="F478" t="s">
        <v>33</v>
      </c>
      <c r="G478" s="3">
        <v>45408</v>
      </c>
      <c r="H478">
        <v>147</v>
      </c>
      <c r="I478">
        <v>43</v>
      </c>
      <c r="J478" t="str">
        <f>IF(supply_chain_data[[#This Row],[Units Sold]]&gt;supply_chain_data[[#This Row],[Opening Stock]],"Yes","No")</f>
        <v>No</v>
      </c>
      <c r="K478">
        <v>27</v>
      </c>
      <c r="L478">
        <f>supply_chain_data[[#This Row],[Opening Stock]]+supply_chain_data[[#This Row],[Units Received]]-supply_chain_data[[#This Row],[Units Sold]]</f>
        <v>131</v>
      </c>
      <c r="M478">
        <v>131</v>
      </c>
      <c r="N478">
        <v>44</v>
      </c>
      <c r="O478" s="2">
        <v>1230</v>
      </c>
      <c r="P478">
        <v>14</v>
      </c>
      <c r="Q478">
        <v>4</v>
      </c>
      <c r="R47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78" t="s">
        <v>24</v>
      </c>
      <c r="T478">
        <v>50</v>
      </c>
      <c r="U478" s="5">
        <f>MAX(0,MIN(1,1-ABS(supply_chain_data[[#This Row],[Forecast Demand]]-supply_chain_data[[#This Row],[Units Sold]])/supply_chain_data[[#This Row],[Forecast Demand]]))</f>
        <v>0.86</v>
      </c>
      <c r="V478" s="4">
        <f>supply_chain_data[[#This Row],[Closing Stock]]/supply_chain_data[[#This Row],[Forecast Demand]]</f>
        <v>2.62</v>
      </c>
      <c r="W478">
        <v>161130</v>
      </c>
    </row>
    <row r="479" spans="1:23" x14ac:dyDescent="0.35">
      <c r="A479" t="s">
        <v>34</v>
      </c>
      <c r="B479" t="s">
        <v>35</v>
      </c>
      <c r="C479" t="s">
        <v>20</v>
      </c>
      <c r="D479" t="s">
        <v>31</v>
      </c>
      <c r="E479" t="s">
        <v>32</v>
      </c>
      <c r="F479" t="s">
        <v>23</v>
      </c>
      <c r="G479" s="3">
        <v>45409</v>
      </c>
      <c r="H479">
        <v>131</v>
      </c>
      <c r="I479">
        <v>35</v>
      </c>
      <c r="J479" t="str">
        <f>IF(supply_chain_data[[#This Row],[Units Sold]]&gt;supply_chain_data[[#This Row],[Opening Stock]],"Yes","No")</f>
        <v>No</v>
      </c>
      <c r="K479">
        <v>66</v>
      </c>
      <c r="L479">
        <f>supply_chain_data[[#This Row],[Opening Stock]]+supply_chain_data[[#This Row],[Units Received]]-supply_chain_data[[#This Row],[Units Sold]]</f>
        <v>162</v>
      </c>
      <c r="M479">
        <v>162</v>
      </c>
      <c r="N479">
        <v>71</v>
      </c>
      <c r="O479" s="2">
        <v>546</v>
      </c>
      <c r="P479">
        <v>14</v>
      </c>
      <c r="Q479">
        <v>3</v>
      </c>
      <c r="R47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79" t="s">
        <v>24</v>
      </c>
      <c r="T479">
        <v>38</v>
      </c>
      <c r="U479" s="5">
        <f>MAX(0,MIN(1,1-ABS(supply_chain_data[[#This Row],[Forecast Demand]]-supply_chain_data[[#This Row],[Units Sold]])/supply_chain_data[[#This Row],[Forecast Demand]]))</f>
        <v>0.92105263157894735</v>
      </c>
      <c r="V479" s="4">
        <f>supply_chain_data[[#This Row],[Closing Stock]]/supply_chain_data[[#This Row],[Forecast Demand]]</f>
        <v>4.2631578947368425</v>
      </c>
      <c r="W479">
        <v>88452</v>
      </c>
    </row>
    <row r="480" spans="1:23" hidden="1" x14ac:dyDescent="0.35">
      <c r="A480" t="s">
        <v>34</v>
      </c>
      <c r="B480" t="s">
        <v>35</v>
      </c>
      <c r="C480" t="s">
        <v>20</v>
      </c>
      <c r="D480" t="s">
        <v>31</v>
      </c>
      <c r="E480" t="s">
        <v>32</v>
      </c>
      <c r="F480" t="s">
        <v>23</v>
      </c>
      <c r="G480" s="3">
        <v>45410</v>
      </c>
      <c r="H480">
        <v>184</v>
      </c>
      <c r="I480">
        <v>25</v>
      </c>
      <c r="J480" t="str">
        <f>IF(supply_chain_data[[#This Row],[Units Sold]]&gt;supply_chain_data[[#This Row],[Opening Stock]],"Yes","No")</f>
        <v>No</v>
      </c>
      <c r="K480">
        <v>77</v>
      </c>
      <c r="L480">
        <f>supply_chain_data[[#This Row],[Opening Stock]]+supply_chain_data[[#This Row],[Units Received]]-supply_chain_data[[#This Row],[Units Sold]]</f>
        <v>236</v>
      </c>
      <c r="M480">
        <v>236</v>
      </c>
      <c r="N480">
        <v>49</v>
      </c>
      <c r="O480" s="2">
        <v>409</v>
      </c>
      <c r="P480">
        <v>6</v>
      </c>
      <c r="Q480">
        <v>4</v>
      </c>
      <c r="R48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80" t="s">
        <v>24</v>
      </c>
      <c r="T480">
        <v>68</v>
      </c>
      <c r="U480" s="5">
        <f>MAX(0,MIN(1,1-ABS(supply_chain_data[[#This Row],[Forecast Demand]]-supply_chain_data[[#This Row],[Units Sold]])/supply_chain_data[[#This Row],[Forecast Demand]]))</f>
        <v>0.36764705882352944</v>
      </c>
      <c r="V480" s="4">
        <f>supply_chain_data[[#This Row],[Closing Stock]]/supply_chain_data[[#This Row],[Forecast Demand]]</f>
        <v>3.4705882352941178</v>
      </c>
      <c r="W480">
        <v>96524</v>
      </c>
    </row>
    <row r="481" spans="1:23" x14ac:dyDescent="0.35">
      <c r="A481" t="s">
        <v>28</v>
      </c>
      <c r="B481" t="s">
        <v>29</v>
      </c>
      <c r="C481" t="s">
        <v>20</v>
      </c>
      <c r="D481" t="s">
        <v>39</v>
      </c>
      <c r="E481" t="s">
        <v>40</v>
      </c>
      <c r="F481" t="s">
        <v>33</v>
      </c>
      <c r="G481" s="3">
        <v>45411</v>
      </c>
      <c r="H481">
        <v>201</v>
      </c>
      <c r="I481">
        <v>44</v>
      </c>
      <c r="J481" t="str">
        <f>IF(supply_chain_data[[#This Row],[Units Sold]]&gt;supply_chain_data[[#This Row],[Opening Stock]],"Yes","No")</f>
        <v>No</v>
      </c>
      <c r="K481">
        <v>70</v>
      </c>
      <c r="L481">
        <f>supply_chain_data[[#This Row],[Opening Stock]]+supply_chain_data[[#This Row],[Units Received]]-supply_chain_data[[#This Row],[Units Sold]]</f>
        <v>227</v>
      </c>
      <c r="M481">
        <v>227</v>
      </c>
      <c r="N481">
        <v>97</v>
      </c>
      <c r="O481" s="2">
        <v>322</v>
      </c>
      <c r="P481">
        <v>14</v>
      </c>
      <c r="Q481">
        <v>5</v>
      </c>
      <c r="R48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81" t="s">
        <v>24</v>
      </c>
      <c r="T481">
        <v>23</v>
      </c>
      <c r="U481" s="5">
        <f>MAX(0,MIN(1,1-ABS(supply_chain_data[[#This Row],[Forecast Demand]]-supply_chain_data[[#This Row],[Units Sold]])/supply_chain_data[[#This Row],[Forecast Demand]]))</f>
        <v>8.6956521739130488E-2</v>
      </c>
      <c r="V481" s="4">
        <f>supply_chain_data[[#This Row],[Closing Stock]]/supply_chain_data[[#This Row],[Forecast Demand]]</f>
        <v>9.8695652173913047</v>
      </c>
      <c r="W481">
        <v>73094</v>
      </c>
    </row>
    <row r="482" spans="1:23" hidden="1" x14ac:dyDescent="0.35">
      <c r="A482" t="s">
        <v>28</v>
      </c>
      <c r="B482" t="s">
        <v>29</v>
      </c>
      <c r="C482" t="s">
        <v>20</v>
      </c>
      <c r="D482" t="s">
        <v>31</v>
      </c>
      <c r="E482" t="s">
        <v>32</v>
      </c>
      <c r="F482" t="s">
        <v>23</v>
      </c>
      <c r="G482" s="3">
        <v>45292</v>
      </c>
      <c r="H482">
        <v>61</v>
      </c>
      <c r="I482">
        <v>25</v>
      </c>
      <c r="J482" t="str">
        <f>IF(supply_chain_data[[#This Row],[Units Sold]]&gt;supply_chain_data[[#This Row],[Opening Stock]],"Yes","No")</f>
        <v>No</v>
      </c>
      <c r="K482">
        <v>28</v>
      </c>
      <c r="L482">
        <f>supply_chain_data[[#This Row],[Opening Stock]]+supply_chain_data[[#This Row],[Units Received]]-supply_chain_data[[#This Row],[Units Sold]]</f>
        <v>64</v>
      </c>
      <c r="M482">
        <v>64</v>
      </c>
      <c r="N482">
        <v>58</v>
      </c>
      <c r="O482" s="2">
        <v>121</v>
      </c>
      <c r="P482">
        <v>10</v>
      </c>
      <c r="Q482">
        <v>9</v>
      </c>
      <c r="R48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482" t="s">
        <v>24</v>
      </c>
      <c r="T482">
        <v>53</v>
      </c>
      <c r="U482" s="5">
        <f>MAX(0,MIN(1,1-ABS(supply_chain_data[[#This Row],[Forecast Demand]]-supply_chain_data[[#This Row],[Units Sold]])/supply_chain_data[[#This Row],[Forecast Demand]]))</f>
        <v>0.47169811320754718</v>
      </c>
      <c r="V482" s="4">
        <f>supply_chain_data[[#This Row],[Closing Stock]]/supply_chain_data[[#This Row],[Forecast Demand]]</f>
        <v>1.2075471698113207</v>
      </c>
      <c r="W482">
        <v>7744</v>
      </c>
    </row>
    <row r="483" spans="1:23" x14ac:dyDescent="0.35">
      <c r="A483" t="s">
        <v>28</v>
      </c>
      <c r="B483" t="s">
        <v>29</v>
      </c>
      <c r="C483" t="s">
        <v>20</v>
      </c>
      <c r="D483" t="s">
        <v>39</v>
      </c>
      <c r="E483" t="s">
        <v>45</v>
      </c>
      <c r="F483" t="s">
        <v>33</v>
      </c>
      <c r="G483" s="3">
        <v>45293</v>
      </c>
      <c r="H483">
        <v>264</v>
      </c>
      <c r="I483">
        <v>56</v>
      </c>
      <c r="J483" t="str">
        <f>IF(supply_chain_data[[#This Row],[Units Sold]]&gt;supply_chain_data[[#This Row],[Opening Stock]],"Yes","No")</f>
        <v>No</v>
      </c>
      <c r="K483">
        <v>50</v>
      </c>
      <c r="L483">
        <f>supply_chain_data[[#This Row],[Opening Stock]]+supply_chain_data[[#This Row],[Units Received]]-supply_chain_data[[#This Row],[Units Sold]]</f>
        <v>258</v>
      </c>
      <c r="M483">
        <v>258</v>
      </c>
      <c r="N483">
        <v>70</v>
      </c>
      <c r="O483" s="2">
        <v>1222</v>
      </c>
      <c r="P483">
        <v>15</v>
      </c>
      <c r="Q483">
        <v>0</v>
      </c>
      <c r="R48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83" t="s">
        <v>24</v>
      </c>
      <c r="T483">
        <v>10</v>
      </c>
      <c r="U483" s="5">
        <f>MAX(0,MIN(1,1-ABS(supply_chain_data[[#This Row],[Forecast Demand]]-supply_chain_data[[#This Row],[Units Sold]])/supply_chain_data[[#This Row],[Forecast Demand]]))</f>
        <v>0</v>
      </c>
      <c r="V483" s="4">
        <f>supply_chain_data[[#This Row],[Closing Stock]]/supply_chain_data[[#This Row],[Forecast Demand]]</f>
        <v>25.8</v>
      </c>
      <c r="W483">
        <v>315276</v>
      </c>
    </row>
    <row r="484" spans="1:23" hidden="1" x14ac:dyDescent="0.35">
      <c r="A484" t="s">
        <v>41</v>
      </c>
      <c r="B484" t="s">
        <v>42</v>
      </c>
      <c r="C484" t="s">
        <v>20</v>
      </c>
      <c r="D484" t="s">
        <v>43</v>
      </c>
      <c r="E484" t="s">
        <v>48</v>
      </c>
      <c r="F484" t="s">
        <v>33</v>
      </c>
      <c r="G484" s="3">
        <v>45294</v>
      </c>
      <c r="H484">
        <v>127</v>
      </c>
      <c r="I484">
        <v>5</v>
      </c>
      <c r="J484" t="str">
        <f>IF(supply_chain_data[[#This Row],[Units Sold]]&gt;supply_chain_data[[#This Row],[Opening Stock]],"Yes","No")</f>
        <v>No</v>
      </c>
      <c r="K484">
        <v>25</v>
      </c>
      <c r="L484">
        <f>supply_chain_data[[#This Row],[Opening Stock]]+supply_chain_data[[#This Row],[Units Received]]-supply_chain_data[[#This Row],[Units Sold]]</f>
        <v>147</v>
      </c>
      <c r="M484">
        <v>147</v>
      </c>
      <c r="N484">
        <v>62</v>
      </c>
      <c r="O484" s="2">
        <v>315</v>
      </c>
      <c r="P484">
        <v>14</v>
      </c>
      <c r="Q484">
        <v>6</v>
      </c>
      <c r="R48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84" t="s">
        <v>24</v>
      </c>
      <c r="T484">
        <v>38</v>
      </c>
      <c r="U484" s="5">
        <f>MAX(0,MIN(1,1-ABS(supply_chain_data[[#This Row],[Forecast Demand]]-supply_chain_data[[#This Row],[Units Sold]])/supply_chain_data[[#This Row],[Forecast Demand]]))</f>
        <v>0.13157894736842102</v>
      </c>
      <c r="V484" s="4">
        <f>supply_chain_data[[#This Row],[Closing Stock]]/supply_chain_data[[#This Row],[Forecast Demand]]</f>
        <v>3.8684210526315788</v>
      </c>
      <c r="W484">
        <v>46305</v>
      </c>
    </row>
    <row r="485" spans="1:23" x14ac:dyDescent="0.35">
      <c r="A485" t="s">
        <v>18</v>
      </c>
      <c r="B485" t="s">
        <v>19</v>
      </c>
      <c r="C485" t="s">
        <v>20</v>
      </c>
      <c r="D485" t="s">
        <v>37</v>
      </c>
      <c r="E485" t="s">
        <v>46</v>
      </c>
      <c r="F485" t="s">
        <v>23</v>
      </c>
      <c r="G485" s="3">
        <v>45295</v>
      </c>
      <c r="H485">
        <v>269</v>
      </c>
      <c r="I485">
        <v>46</v>
      </c>
      <c r="J485" t="str">
        <f>IF(supply_chain_data[[#This Row],[Units Sold]]&gt;supply_chain_data[[#This Row],[Opening Stock]],"Yes","No")</f>
        <v>No</v>
      </c>
      <c r="K485">
        <v>57</v>
      </c>
      <c r="L485">
        <f>supply_chain_data[[#This Row],[Opening Stock]]+supply_chain_data[[#This Row],[Units Received]]-supply_chain_data[[#This Row],[Units Sold]]</f>
        <v>280</v>
      </c>
      <c r="M485">
        <v>280</v>
      </c>
      <c r="N485">
        <v>44</v>
      </c>
      <c r="O485" s="2">
        <v>1120</v>
      </c>
      <c r="P485">
        <v>7</v>
      </c>
      <c r="Q485">
        <v>1</v>
      </c>
      <c r="R48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85" t="s">
        <v>24</v>
      </c>
      <c r="T485">
        <v>12</v>
      </c>
      <c r="U485" s="5">
        <f>MAX(0,MIN(1,1-ABS(supply_chain_data[[#This Row],[Forecast Demand]]-supply_chain_data[[#This Row],[Units Sold]])/supply_chain_data[[#This Row],[Forecast Demand]]))</f>
        <v>0</v>
      </c>
      <c r="V485" s="4">
        <f>supply_chain_data[[#This Row],[Closing Stock]]/supply_chain_data[[#This Row],[Forecast Demand]]</f>
        <v>23.333333333333332</v>
      </c>
      <c r="W485">
        <v>313600</v>
      </c>
    </row>
    <row r="486" spans="1:23" x14ac:dyDescent="0.35">
      <c r="A486" t="s">
        <v>41</v>
      </c>
      <c r="B486" t="s">
        <v>42</v>
      </c>
      <c r="C486" t="s">
        <v>20</v>
      </c>
      <c r="D486" t="s">
        <v>21</v>
      </c>
      <c r="E486" t="s">
        <v>22</v>
      </c>
      <c r="F486" t="s">
        <v>23</v>
      </c>
      <c r="G486" s="3">
        <v>45296</v>
      </c>
      <c r="H486">
        <v>214</v>
      </c>
      <c r="I486">
        <v>51</v>
      </c>
      <c r="J486" t="str">
        <f>IF(supply_chain_data[[#This Row],[Units Sold]]&gt;supply_chain_data[[#This Row],[Opening Stock]],"Yes","No")</f>
        <v>No</v>
      </c>
      <c r="K486">
        <v>70</v>
      </c>
      <c r="L486">
        <f>supply_chain_data[[#This Row],[Opening Stock]]+supply_chain_data[[#This Row],[Units Received]]-supply_chain_data[[#This Row],[Units Sold]]</f>
        <v>233</v>
      </c>
      <c r="M486">
        <v>233</v>
      </c>
      <c r="N486">
        <v>83</v>
      </c>
      <c r="O486" s="2">
        <v>474</v>
      </c>
      <c r="P486">
        <v>9</v>
      </c>
      <c r="Q486">
        <v>0</v>
      </c>
      <c r="R48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86" t="s">
        <v>24</v>
      </c>
      <c r="T486">
        <v>53</v>
      </c>
      <c r="U486" s="5">
        <f>MAX(0,MIN(1,1-ABS(supply_chain_data[[#This Row],[Forecast Demand]]-supply_chain_data[[#This Row],[Units Sold]])/supply_chain_data[[#This Row],[Forecast Demand]]))</f>
        <v>0.96226415094339623</v>
      </c>
      <c r="V486" s="4">
        <f>supply_chain_data[[#This Row],[Closing Stock]]/supply_chain_data[[#This Row],[Forecast Demand]]</f>
        <v>4.3962264150943398</v>
      </c>
      <c r="W486">
        <v>110442</v>
      </c>
    </row>
    <row r="487" spans="1:23" hidden="1" x14ac:dyDescent="0.35">
      <c r="A487" t="s">
        <v>28</v>
      </c>
      <c r="B487" t="s">
        <v>29</v>
      </c>
      <c r="C487" t="s">
        <v>20</v>
      </c>
      <c r="D487" t="s">
        <v>43</v>
      </c>
      <c r="E487" t="s">
        <v>48</v>
      </c>
      <c r="F487" t="s">
        <v>23</v>
      </c>
      <c r="G487" s="3">
        <v>45297</v>
      </c>
      <c r="H487">
        <v>90</v>
      </c>
      <c r="I487">
        <v>13</v>
      </c>
      <c r="J487" t="str">
        <f>IF(supply_chain_data[[#This Row],[Units Sold]]&gt;supply_chain_data[[#This Row],[Opening Stock]],"Yes","No")</f>
        <v>No</v>
      </c>
      <c r="K487">
        <v>0</v>
      </c>
      <c r="L487">
        <f>supply_chain_data[[#This Row],[Opening Stock]]+supply_chain_data[[#This Row],[Units Received]]-supply_chain_data[[#This Row],[Units Sold]]</f>
        <v>77</v>
      </c>
      <c r="M487">
        <v>77</v>
      </c>
      <c r="N487">
        <v>54</v>
      </c>
      <c r="O487" s="2">
        <v>1496</v>
      </c>
      <c r="P487">
        <v>7</v>
      </c>
      <c r="Q487">
        <v>8</v>
      </c>
      <c r="R48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487" t="s">
        <v>24</v>
      </c>
      <c r="T487">
        <v>62</v>
      </c>
      <c r="U487" s="5">
        <f>MAX(0,MIN(1,1-ABS(supply_chain_data[[#This Row],[Forecast Demand]]-supply_chain_data[[#This Row],[Units Sold]])/supply_chain_data[[#This Row],[Forecast Demand]]))</f>
        <v>0.20967741935483875</v>
      </c>
      <c r="V487" s="4">
        <f>supply_chain_data[[#This Row],[Closing Stock]]/supply_chain_data[[#This Row],[Forecast Demand]]</f>
        <v>1.2419354838709677</v>
      </c>
      <c r="W487">
        <v>115192</v>
      </c>
    </row>
    <row r="488" spans="1:23" x14ac:dyDescent="0.35">
      <c r="A488" t="s">
        <v>28</v>
      </c>
      <c r="B488" t="s">
        <v>29</v>
      </c>
      <c r="C488" t="s">
        <v>20</v>
      </c>
      <c r="D488" t="s">
        <v>31</v>
      </c>
      <c r="E488" t="s">
        <v>32</v>
      </c>
      <c r="F488" t="s">
        <v>30</v>
      </c>
      <c r="G488" s="3">
        <v>45298</v>
      </c>
      <c r="H488">
        <v>225</v>
      </c>
      <c r="I488">
        <v>53</v>
      </c>
      <c r="J488" t="str">
        <f>IF(supply_chain_data[[#This Row],[Units Sold]]&gt;supply_chain_data[[#This Row],[Opening Stock]],"Yes","No")</f>
        <v>No</v>
      </c>
      <c r="K488">
        <v>16</v>
      </c>
      <c r="L488">
        <f>supply_chain_data[[#This Row],[Opening Stock]]+supply_chain_data[[#This Row],[Units Received]]-supply_chain_data[[#This Row],[Units Sold]]</f>
        <v>188</v>
      </c>
      <c r="M488">
        <v>188</v>
      </c>
      <c r="N488">
        <v>61</v>
      </c>
      <c r="O488" s="2">
        <v>1287</v>
      </c>
      <c r="P488">
        <v>2</v>
      </c>
      <c r="Q488">
        <v>4</v>
      </c>
      <c r="R48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88" t="s">
        <v>24</v>
      </c>
      <c r="T488">
        <v>20</v>
      </c>
      <c r="U488" s="5">
        <f>MAX(0,MIN(1,1-ABS(supply_chain_data[[#This Row],[Forecast Demand]]-supply_chain_data[[#This Row],[Units Sold]])/supply_chain_data[[#This Row],[Forecast Demand]]))</f>
        <v>0</v>
      </c>
      <c r="V488" s="4">
        <f>supply_chain_data[[#This Row],[Closing Stock]]/supply_chain_data[[#This Row],[Forecast Demand]]</f>
        <v>9.4</v>
      </c>
      <c r="W488">
        <v>241956</v>
      </c>
    </row>
    <row r="489" spans="1:23" x14ac:dyDescent="0.35">
      <c r="A489" t="s">
        <v>41</v>
      </c>
      <c r="B489" t="s">
        <v>42</v>
      </c>
      <c r="C489" t="s">
        <v>20</v>
      </c>
      <c r="D489" t="s">
        <v>21</v>
      </c>
      <c r="E489" t="s">
        <v>27</v>
      </c>
      <c r="F489" t="s">
        <v>23</v>
      </c>
      <c r="G489" s="3">
        <v>45299</v>
      </c>
      <c r="H489">
        <v>183</v>
      </c>
      <c r="I489">
        <v>30</v>
      </c>
      <c r="J489" t="str">
        <f>IF(supply_chain_data[[#This Row],[Units Sold]]&gt;supply_chain_data[[#This Row],[Opening Stock]],"Yes","No")</f>
        <v>No</v>
      </c>
      <c r="K489">
        <v>1</v>
      </c>
      <c r="L489">
        <f>supply_chain_data[[#This Row],[Opening Stock]]+supply_chain_data[[#This Row],[Units Received]]-supply_chain_data[[#This Row],[Units Sold]]</f>
        <v>154</v>
      </c>
      <c r="M489">
        <v>154</v>
      </c>
      <c r="N489">
        <v>76</v>
      </c>
      <c r="O489" s="2">
        <v>189</v>
      </c>
      <c r="P489">
        <v>3</v>
      </c>
      <c r="Q489">
        <v>2</v>
      </c>
      <c r="R48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89" t="s">
        <v>24</v>
      </c>
      <c r="T489">
        <v>30</v>
      </c>
      <c r="U489" s="5">
        <f>MAX(0,MIN(1,1-ABS(supply_chain_data[[#This Row],[Forecast Demand]]-supply_chain_data[[#This Row],[Units Sold]])/supply_chain_data[[#This Row],[Forecast Demand]]))</f>
        <v>1</v>
      </c>
      <c r="V489" s="4">
        <f>supply_chain_data[[#This Row],[Closing Stock]]/supply_chain_data[[#This Row],[Forecast Demand]]</f>
        <v>5.1333333333333337</v>
      </c>
      <c r="W489">
        <v>29106</v>
      </c>
    </row>
    <row r="490" spans="1:23" x14ac:dyDescent="0.35">
      <c r="A490" t="s">
        <v>25</v>
      </c>
      <c r="B490" t="s">
        <v>26</v>
      </c>
      <c r="C490" t="s">
        <v>20</v>
      </c>
      <c r="D490" t="s">
        <v>31</v>
      </c>
      <c r="E490" t="s">
        <v>47</v>
      </c>
      <c r="F490" t="s">
        <v>30</v>
      </c>
      <c r="G490" s="3">
        <v>45300</v>
      </c>
      <c r="H490">
        <v>237</v>
      </c>
      <c r="I490">
        <v>23</v>
      </c>
      <c r="J490" t="str">
        <f>IF(supply_chain_data[[#This Row],[Units Sold]]&gt;supply_chain_data[[#This Row],[Opening Stock]],"Yes","No")</f>
        <v>No</v>
      </c>
      <c r="K490">
        <v>49</v>
      </c>
      <c r="L490">
        <f>supply_chain_data[[#This Row],[Opening Stock]]+supply_chain_data[[#This Row],[Units Received]]-supply_chain_data[[#This Row],[Units Sold]]</f>
        <v>263</v>
      </c>
      <c r="M490">
        <v>263</v>
      </c>
      <c r="N490">
        <v>73</v>
      </c>
      <c r="O490" s="2">
        <v>1380</v>
      </c>
      <c r="P490">
        <v>2</v>
      </c>
      <c r="Q490">
        <v>8</v>
      </c>
      <c r="R49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90" t="s">
        <v>24</v>
      </c>
      <c r="T490">
        <v>30</v>
      </c>
      <c r="U490" s="5">
        <f>MAX(0,MIN(1,1-ABS(supply_chain_data[[#This Row],[Forecast Demand]]-supply_chain_data[[#This Row],[Units Sold]])/supply_chain_data[[#This Row],[Forecast Demand]]))</f>
        <v>0.76666666666666661</v>
      </c>
      <c r="V490" s="4">
        <f>supply_chain_data[[#This Row],[Closing Stock]]/supply_chain_data[[#This Row],[Forecast Demand]]</f>
        <v>8.7666666666666675</v>
      </c>
      <c r="W490">
        <v>362940</v>
      </c>
    </row>
    <row r="491" spans="1:23" x14ac:dyDescent="0.35">
      <c r="A491" t="s">
        <v>28</v>
      </c>
      <c r="B491" t="s">
        <v>29</v>
      </c>
      <c r="C491" t="s">
        <v>20</v>
      </c>
      <c r="D491" t="s">
        <v>43</v>
      </c>
      <c r="E491" t="s">
        <v>44</v>
      </c>
      <c r="F491" t="s">
        <v>33</v>
      </c>
      <c r="G491" s="3">
        <v>45301</v>
      </c>
      <c r="H491">
        <v>266</v>
      </c>
      <c r="I491">
        <v>54</v>
      </c>
      <c r="J491" t="str">
        <f>IF(supply_chain_data[[#This Row],[Units Sold]]&gt;supply_chain_data[[#This Row],[Opening Stock]],"Yes","No")</f>
        <v>No</v>
      </c>
      <c r="K491">
        <v>21</v>
      </c>
      <c r="L491">
        <f>supply_chain_data[[#This Row],[Opening Stock]]+supply_chain_data[[#This Row],[Units Received]]-supply_chain_data[[#This Row],[Units Sold]]</f>
        <v>233</v>
      </c>
      <c r="M491">
        <v>233</v>
      </c>
      <c r="N491">
        <v>94</v>
      </c>
      <c r="O491" s="2">
        <v>1060</v>
      </c>
      <c r="P491">
        <v>2</v>
      </c>
      <c r="Q491">
        <v>0</v>
      </c>
      <c r="R49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91" t="s">
        <v>24</v>
      </c>
      <c r="T491">
        <v>44</v>
      </c>
      <c r="U491" s="5">
        <f>MAX(0,MIN(1,1-ABS(supply_chain_data[[#This Row],[Forecast Demand]]-supply_chain_data[[#This Row],[Units Sold]])/supply_chain_data[[#This Row],[Forecast Demand]]))</f>
        <v>0.77272727272727271</v>
      </c>
      <c r="V491" s="4">
        <f>supply_chain_data[[#This Row],[Closing Stock]]/supply_chain_data[[#This Row],[Forecast Demand]]</f>
        <v>5.2954545454545459</v>
      </c>
      <c r="W491">
        <v>246980</v>
      </c>
    </row>
    <row r="492" spans="1:23" hidden="1" x14ac:dyDescent="0.35">
      <c r="A492" t="s">
        <v>34</v>
      </c>
      <c r="B492" t="s">
        <v>35</v>
      </c>
      <c r="C492" t="s">
        <v>20</v>
      </c>
      <c r="D492" t="s">
        <v>31</v>
      </c>
      <c r="E492" t="s">
        <v>47</v>
      </c>
      <c r="F492" t="s">
        <v>33</v>
      </c>
      <c r="G492" s="3">
        <v>45302</v>
      </c>
      <c r="H492">
        <v>72</v>
      </c>
      <c r="I492">
        <v>44</v>
      </c>
      <c r="J492" t="str">
        <f>IF(supply_chain_data[[#This Row],[Units Sold]]&gt;supply_chain_data[[#This Row],[Opening Stock]],"Yes","No")</f>
        <v>No</v>
      </c>
      <c r="K492">
        <v>57</v>
      </c>
      <c r="L492">
        <f>supply_chain_data[[#This Row],[Opening Stock]]+supply_chain_data[[#This Row],[Units Received]]-supply_chain_data[[#This Row],[Units Sold]]</f>
        <v>85</v>
      </c>
      <c r="M492">
        <v>85</v>
      </c>
      <c r="N492">
        <v>77</v>
      </c>
      <c r="O492" s="2">
        <v>52</v>
      </c>
      <c r="P492">
        <v>15</v>
      </c>
      <c r="Q492">
        <v>5</v>
      </c>
      <c r="R492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Healthy</v>
      </c>
      <c r="S492" t="s">
        <v>24</v>
      </c>
      <c r="T492">
        <v>61</v>
      </c>
      <c r="U492" s="5">
        <f>MAX(0,MIN(1,1-ABS(supply_chain_data[[#This Row],[Forecast Demand]]-supply_chain_data[[#This Row],[Units Sold]])/supply_chain_data[[#This Row],[Forecast Demand]]))</f>
        <v>0.72131147540983609</v>
      </c>
      <c r="V492" s="4">
        <f>supply_chain_data[[#This Row],[Closing Stock]]/supply_chain_data[[#This Row],[Forecast Demand]]</f>
        <v>1.3934426229508197</v>
      </c>
      <c r="W492">
        <v>4420</v>
      </c>
    </row>
    <row r="493" spans="1:23" x14ac:dyDescent="0.35">
      <c r="A493" t="s">
        <v>34</v>
      </c>
      <c r="B493" t="s">
        <v>35</v>
      </c>
      <c r="C493" t="s">
        <v>20</v>
      </c>
      <c r="D493" t="s">
        <v>21</v>
      </c>
      <c r="E493" t="s">
        <v>22</v>
      </c>
      <c r="F493" t="s">
        <v>23</v>
      </c>
      <c r="G493" s="3">
        <v>45303</v>
      </c>
      <c r="H493">
        <v>274</v>
      </c>
      <c r="I493">
        <v>44</v>
      </c>
      <c r="J493" t="str">
        <f>IF(supply_chain_data[[#This Row],[Units Sold]]&gt;supply_chain_data[[#This Row],[Opening Stock]],"Yes","No")</f>
        <v>No</v>
      </c>
      <c r="K493">
        <v>8</v>
      </c>
      <c r="L493">
        <f>supply_chain_data[[#This Row],[Opening Stock]]+supply_chain_data[[#This Row],[Units Received]]-supply_chain_data[[#This Row],[Units Sold]]</f>
        <v>238</v>
      </c>
      <c r="M493">
        <v>238</v>
      </c>
      <c r="N493">
        <v>68</v>
      </c>
      <c r="O493" s="2">
        <v>344</v>
      </c>
      <c r="P493">
        <v>5</v>
      </c>
      <c r="Q493">
        <v>3</v>
      </c>
      <c r="R493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93" t="s">
        <v>24</v>
      </c>
      <c r="T493">
        <v>15</v>
      </c>
      <c r="U493" s="5">
        <f>MAX(0,MIN(1,1-ABS(supply_chain_data[[#This Row],[Forecast Demand]]-supply_chain_data[[#This Row],[Units Sold]])/supply_chain_data[[#This Row],[Forecast Demand]]))</f>
        <v>0</v>
      </c>
      <c r="V493" s="4">
        <f>supply_chain_data[[#This Row],[Closing Stock]]/supply_chain_data[[#This Row],[Forecast Demand]]</f>
        <v>15.866666666666667</v>
      </c>
      <c r="W493">
        <v>81872</v>
      </c>
    </row>
    <row r="494" spans="1:23" x14ac:dyDescent="0.35">
      <c r="A494" t="s">
        <v>25</v>
      </c>
      <c r="B494" t="s">
        <v>26</v>
      </c>
      <c r="C494" t="s">
        <v>20</v>
      </c>
      <c r="D494" t="s">
        <v>39</v>
      </c>
      <c r="E494" t="s">
        <v>40</v>
      </c>
      <c r="F494" t="s">
        <v>23</v>
      </c>
      <c r="G494" s="3">
        <v>45304</v>
      </c>
      <c r="H494">
        <v>225</v>
      </c>
      <c r="I494">
        <v>16</v>
      </c>
      <c r="J494" t="str">
        <f>IF(supply_chain_data[[#This Row],[Units Sold]]&gt;supply_chain_data[[#This Row],[Opening Stock]],"Yes","No")</f>
        <v>No</v>
      </c>
      <c r="K494">
        <v>30</v>
      </c>
      <c r="L494">
        <f>supply_chain_data[[#This Row],[Opening Stock]]+supply_chain_data[[#This Row],[Units Received]]-supply_chain_data[[#This Row],[Units Sold]]</f>
        <v>239</v>
      </c>
      <c r="M494">
        <v>239</v>
      </c>
      <c r="N494">
        <v>48</v>
      </c>
      <c r="O494" s="2">
        <v>1103</v>
      </c>
      <c r="P494">
        <v>4</v>
      </c>
      <c r="Q494">
        <v>9</v>
      </c>
      <c r="R494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94" t="s">
        <v>24</v>
      </c>
      <c r="T494">
        <v>13</v>
      </c>
      <c r="U494" s="5">
        <f>MAX(0,MIN(1,1-ABS(supply_chain_data[[#This Row],[Forecast Demand]]-supply_chain_data[[#This Row],[Units Sold]])/supply_chain_data[[#This Row],[Forecast Demand]]))</f>
        <v>0.76923076923076916</v>
      </c>
      <c r="V494" s="4">
        <f>supply_chain_data[[#This Row],[Closing Stock]]/supply_chain_data[[#This Row],[Forecast Demand]]</f>
        <v>18.384615384615383</v>
      </c>
      <c r="W494">
        <v>263617</v>
      </c>
    </row>
    <row r="495" spans="1:23" hidden="1" x14ac:dyDescent="0.35">
      <c r="A495" t="s">
        <v>25</v>
      </c>
      <c r="B495" t="s">
        <v>26</v>
      </c>
      <c r="C495" t="s">
        <v>20</v>
      </c>
      <c r="D495" t="s">
        <v>39</v>
      </c>
      <c r="E495" t="s">
        <v>45</v>
      </c>
      <c r="F495" t="s">
        <v>30</v>
      </c>
      <c r="G495" s="3">
        <v>45305</v>
      </c>
      <c r="H495">
        <v>122</v>
      </c>
      <c r="I495">
        <v>39</v>
      </c>
      <c r="J495" t="str">
        <f>IF(supply_chain_data[[#This Row],[Units Sold]]&gt;supply_chain_data[[#This Row],[Opening Stock]],"Yes","No")</f>
        <v>No</v>
      </c>
      <c r="K495">
        <v>7</v>
      </c>
      <c r="L495">
        <f>supply_chain_data[[#This Row],[Opening Stock]]+supply_chain_data[[#This Row],[Units Received]]-supply_chain_data[[#This Row],[Units Sold]]</f>
        <v>90</v>
      </c>
      <c r="M495">
        <v>90</v>
      </c>
      <c r="N495">
        <v>60</v>
      </c>
      <c r="O495" s="2">
        <v>1236</v>
      </c>
      <c r="P495">
        <v>10</v>
      </c>
      <c r="Q495">
        <v>5</v>
      </c>
      <c r="R495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95" t="s">
        <v>24</v>
      </c>
      <c r="T495">
        <v>37</v>
      </c>
      <c r="U495" s="5">
        <f>MAX(0,MIN(1,1-ABS(supply_chain_data[[#This Row],[Forecast Demand]]-supply_chain_data[[#This Row],[Units Sold]])/supply_chain_data[[#This Row],[Forecast Demand]]))</f>
        <v>0.94594594594594594</v>
      </c>
      <c r="V495" s="4">
        <f>supply_chain_data[[#This Row],[Closing Stock]]/supply_chain_data[[#This Row],[Forecast Demand]]</f>
        <v>2.4324324324324325</v>
      </c>
      <c r="W495">
        <v>111240</v>
      </c>
    </row>
    <row r="496" spans="1:23" hidden="1" x14ac:dyDescent="0.35">
      <c r="A496" t="s">
        <v>34</v>
      </c>
      <c r="B496" t="s">
        <v>35</v>
      </c>
      <c r="C496" t="s">
        <v>20</v>
      </c>
      <c r="D496" t="s">
        <v>43</v>
      </c>
      <c r="E496" t="s">
        <v>44</v>
      </c>
      <c r="F496" t="s">
        <v>30</v>
      </c>
      <c r="G496" s="3">
        <v>45306</v>
      </c>
      <c r="H496">
        <v>150</v>
      </c>
      <c r="I496">
        <v>24</v>
      </c>
      <c r="J496" t="str">
        <f>IF(supply_chain_data[[#This Row],[Units Sold]]&gt;supply_chain_data[[#This Row],[Opening Stock]],"Yes","No")</f>
        <v>No</v>
      </c>
      <c r="K496">
        <v>47</v>
      </c>
      <c r="L496">
        <f>supply_chain_data[[#This Row],[Opening Stock]]+supply_chain_data[[#This Row],[Units Received]]-supply_chain_data[[#This Row],[Units Sold]]</f>
        <v>173</v>
      </c>
      <c r="M496">
        <v>173</v>
      </c>
      <c r="N496">
        <v>59</v>
      </c>
      <c r="O496" s="2">
        <v>1184</v>
      </c>
      <c r="P496">
        <v>11</v>
      </c>
      <c r="Q496">
        <v>0</v>
      </c>
      <c r="R496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96" t="s">
        <v>24</v>
      </c>
      <c r="T496">
        <v>62</v>
      </c>
      <c r="U496" s="5">
        <f>MAX(0,MIN(1,1-ABS(supply_chain_data[[#This Row],[Forecast Demand]]-supply_chain_data[[#This Row],[Units Sold]])/supply_chain_data[[#This Row],[Forecast Demand]]))</f>
        <v>0.38709677419354838</v>
      </c>
      <c r="V496" s="4">
        <f>supply_chain_data[[#This Row],[Closing Stock]]/supply_chain_data[[#This Row],[Forecast Demand]]</f>
        <v>2.7903225806451615</v>
      </c>
      <c r="W496">
        <v>204832</v>
      </c>
    </row>
    <row r="497" spans="1:23" x14ac:dyDescent="0.35">
      <c r="A497" t="s">
        <v>18</v>
      </c>
      <c r="B497" t="s">
        <v>19</v>
      </c>
      <c r="C497" t="s">
        <v>20</v>
      </c>
      <c r="D497" t="s">
        <v>43</v>
      </c>
      <c r="E497" t="s">
        <v>48</v>
      </c>
      <c r="F497" t="s">
        <v>30</v>
      </c>
      <c r="G497" s="3">
        <v>45307</v>
      </c>
      <c r="H497">
        <v>266</v>
      </c>
      <c r="I497">
        <v>17</v>
      </c>
      <c r="J497" t="str">
        <f>IF(supply_chain_data[[#This Row],[Units Sold]]&gt;supply_chain_data[[#This Row],[Opening Stock]],"Yes","No")</f>
        <v>No</v>
      </c>
      <c r="K497">
        <v>49</v>
      </c>
      <c r="L497">
        <f>supply_chain_data[[#This Row],[Opening Stock]]+supply_chain_data[[#This Row],[Units Received]]-supply_chain_data[[#This Row],[Units Sold]]</f>
        <v>298</v>
      </c>
      <c r="M497">
        <v>298</v>
      </c>
      <c r="N497">
        <v>98</v>
      </c>
      <c r="O497" s="2">
        <v>1038</v>
      </c>
      <c r="P497">
        <v>13</v>
      </c>
      <c r="Q497">
        <v>3</v>
      </c>
      <c r="R497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97" t="s">
        <v>24</v>
      </c>
      <c r="T497">
        <v>29</v>
      </c>
      <c r="U497" s="5">
        <f>MAX(0,MIN(1,1-ABS(supply_chain_data[[#This Row],[Forecast Demand]]-supply_chain_data[[#This Row],[Units Sold]])/supply_chain_data[[#This Row],[Forecast Demand]]))</f>
        <v>0.5862068965517242</v>
      </c>
      <c r="V497" s="4">
        <f>supply_chain_data[[#This Row],[Closing Stock]]/supply_chain_data[[#This Row],[Forecast Demand]]</f>
        <v>10.275862068965518</v>
      </c>
      <c r="W497">
        <v>309324</v>
      </c>
    </row>
    <row r="498" spans="1:23" hidden="1" x14ac:dyDescent="0.35">
      <c r="A498" t="s">
        <v>28</v>
      </c>
      <c r="B498" t="s">
        <v>29</v>
      </c>
      <c r="C498" t="s">
        <v>20</v>
      </c>
      <c r="D498" t="s">
        <v>31</v>
      </c>
      <c r="E498" t="s">
        <v>47</v>
      </c>
      <c r="F498" t="s">
        <v>23</v>
      </c>
      <c r="G498" s="3">
        <v>45308</v>
      </c>
      <c r="H498">
        <v>135</v>
      </c>
      <c r="I498">
        <v>41</v>
      </c>
      <c r="J498" t="str">
        <f>IF(supply_chain_data[[#This Row],[Units Sold]]&gt;supply_chain_data[[#This Row],[Opening Stock]],"Yes","No")</f>
        <v>No</v>
      </c>
      <c r="K498">
        <v>50</v>
      </c>
      <c r="L498">
        <f>supply_chain_data[[#This Row],[Opening Stock]]+supply_chain_data[[#This Row],[Units Received]]-supply_chain_data[[#This Row],[Units Sold]]</f>
        <v>144</v>
      </c>
      <c r="M498">
        <v>144</v>
      </c>
      <c r="N498">
        <v>51</v>
      </c>
      <c r="O498" s="2">
        <v>107</v>
      </c>
      <c r="P498">
        <v>3</v>
      </c>
      <c r="Q498">
        <v>1</v>
      </c>
      <c r="R498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Slight Overstock</v>
      </c>
      <c r="S498" t="s">
        <v>24</v>
      </c>
      <c r="T498">
        <v>63</v>
      </c>
      <c r="U498" s="5">
        <f>MAX(0,MIN(1,1-ABS(supply_chain_data[[#This Row],[Forecast Demand]]-supply_chain_data[[#This Row],[Units Sold]])/supply_chain_data[[#This Row],[Forecast Demand]]))</f>
        <v>0.65079365079365081</v>
      </c>
      <c r="V498" s="4">
        <f>supply_chain_data[[#This Row],[Closing Stock]]/supply_chain_data[[#This Row],[Forecast Demand]]</f>
        <v>2.2857142857142856</v>
      </c>
      <c r="W498">
        <v>15408</v>
      </c>
    </row>
    <row r="499" spans="1:23" x14ac:dyDescent="0.35">
      <c r="A499" t="s">
        <v>34</v>
      </c>
      <c r="B499" t="s">
        <v>35</v>
      </c>
      <c r="C499" t="s">
        <v>20</v>
      </c>
      <c r="D499" t="s">
        <v>21</v>
      </c>
      <c r="E499" t="s">
        <v>27</v>
      </c>
      <c r="F499" t="s">
        <v>30</v>
      </c>
      <c r="G499" s="3">
        <v>45309</v>
      </c>
      <c r="H499">
        <v>299</v>
      </c>
      <c r="I499">
        <v>57</v>
      </c>
      <c r="J499" t="str">
        <f>IF(supply_chain_data[[#This Row],[Units Sold]]&gt;supply_chain_data[[#This Row],[Opening Stock]],"Yes","No")</f>
        <v>No</v>
      </c>
      <c r="K499">
        <v>35</v>
      </c>
      <c r="L499">
        <f>supply_chain_data[[#This Row],[Opening Stock]]+supply_chain_data[[#This Row],[Units Received]]-supply_chain_data[[#This Row],[Units Sold]]</f>
        <v>277</v>
      </c>
      <c r="M499">
        <v>277</v>
      </c>
      <c r="N499">
        <v>45</v>
      </c>
      <c r="O499" s="2">
        <v>174</v>
      </c>
      <c r="P499">
        <v>7</v>
      </c>
      <c r="Q499">
        <v>5</v>
      </c>
      <c r="R499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499" t="s">
        <v>24</v>
      </c>
      <c r="T499">
        <v>49</v>
      </c>
      <c r="U499" s="5">
        <f>MAX(0,MIN(1,1-ABS(supply_chain_data[[#This Row],[Forecast Demand]]-supply_chain_data[[#This Row],[Units Sold]])/supply_chain_data[[#This Row],[Forecast Demand]]))</f>
        <v>0.83673469387755106</v>
      </c>
      <c r="V499" s="4">
        <f>supply_chain_data[[#This Row],[Closing Stock]]/supply_chain_data[[#This Row],[Forecast Demand]]</f>
        <v>5.6530612244897958</v>
      </c>
      <c r="W499">
        <v>48198</v>
      </c>
    </row>
    <row r="500" spans="1:23" x14ac:dyDescent="0.35">
      <c r="A500" t="s">
        <v>25</v>
      </c>
      <c r="B500" t="s">
        <v>26</v>
      </c>
      <c r="C500" t="s">
        <v>20</v>
      </c>
      <c r="D500" t="s">
        <v>21</v>
      </c>
      <c r="E500" t="s">
        <v>27</v>
      </c>
      <c r="F500" t="s">
        <v>23</v>
      </c>
      <c r="G500" s="3">
        <v>45310</v>
      </c>
      <c r="H500">
        <v>255</v>
      </c>
      <c r="I500">
        <v>22</v>
      </c>
      <c r="J500" t="str">
        <f>IF(supply_chain_data[[#This Row],[Units Sold]]&gt;supply_chain_data[[#This Row],[Opening Stock]],"Yes","No")</f>
        <v>No</v>
      </c>
      <c r="K500">
        <v>22</v>
      </c>
      <c r="L500">
        <f>supply_chain_data[[#This Row],[Opening Stock]]+supply_chain_data[[#This Row],[Units Received]]-supply_chain_data[[#This Row],[Units Sold]]</f>
        <v>255</v>
      </c>
      <c r="M500">
        <v>255</v>
      </c>
      <c r="N500">
        <v>42</v>
      </c>
      <c r="O500" s="2">
        <v>638</v>
      </c>
      <c r="P500">
        <v>3</v>
      </c>
      <c r="Q500">
        <v>2</v>
      </c>
      <c r="R500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500" t="s">
        <v>24</v>
      </c>
      <c r="T500">
        <v>16</v>
      </c>
      <c r="U500" s="5">
        <f>MAX(0,MIN(1,1-ABS(supply_chain_data[[#This Row],[Forecast Demand]]-supply_chain_data[[#This Row],[Units Sold]])/supply_chain_data[[#This Row],[Forecast Demand]]))</f>
        <v>0.625</v>
      </c>
      <c r="V500" s="4">
        <f>supply_chain_data[[#This Row],[Closing Stock]]/supply_chain_data[[#This Row],[Forecast Demand]]</f>
        <v>15.9375</v>
      </c>
      <c r="W500">
        <v>162690</v>
      </c>
    </row>
    <row r="501" spans="1:23" x14ac:dyDescent="0.35">
      <c r="A501" t="s">
        <v>28</v>
      </c>
      <c r="B501" t="s">
        <v>29</v>
      </c>
      <c r="C501" t="s">
        <v>20</v>
      </c>
      <c r="D501" t="s">
        <v>43</v>
      </c>
      <c r="E501" t="s">
        <v>48</v>
      </c>
      <c r="F501" t="s">
        <v>33</v>
      </c>
      <c r="G501" s="3">
        <v>45311</v>
      </c>
      <c r="H501">
        <v>173</v>
      </c>
      <c r="I501">
        <v>55</v>
      </c>
      <c r="J501" t="str">
        <f>IF(supply_chain_data[[#This Row],[Units Sold]]&gt;supply_chain_data[[#This Row],[Opening Stock]],"Yes","No")</f>
        <v>No</v>
      </c>
      <c r="K501">
        <v>40</v>
      </c>
      <c r="L501">
        <f>supply_chain_data[[#This Row],[Opening Stock]]+supply_chain_data[[#This Row],[Units Received]]-supply_chain_data[[#This Row],[Units Sold]]</f>
        <v>158</v>
      </c>
      <c r="M501">
        <v>158</v>
      </c>
      <c r="N501">
        <v>93</v>
      </c>
      <c r="O501" s="2">
        <v>442</v>
      </c>
      <c r="P501">
        <v>9</v>
      </c>
      <c r="Q501">
        <v>8</v>
      </c>
      <c r="R501" t="str">
        <f>IF(supply_chain_data[[#This Row],[Closing Stock Old]]&lt;=supply_chain_data[[#This Row],[Reorder Level]],"Low",IF(supply_chain_data[[#This Row],[Closing Stock Old]]&gt;4*supply_chain_data[[#This Row],[Forecast Demand]],"Overstock",IF(supply_chain_data[[#This Row],[Closing Stock Old]]&gt;2*supply_chain_data[[#This Row],[Forecast Demand]],"Slight Overstock","Healthy")))</f>
        <v>Overstock</v>
      </c>
      <c r="S501" t="s">
        <v>24</v>
      </c>
      <c r="T501">
        <v>10</v>
      </c>
      <c r="U501" s="5">
        <f>MAX(0,MIN(1,1-ABS(supply_chain_data[[#This Row],[Forecast Demand]]-supply_chain_data[[#This Row],[Units Sold]])/supply_chain_data[[#This Row],[Forecast Demand]]))</f>
        <v>0</v>
      </c>
      <c r="V501" s="4">
        <f>supply_chain_data[[#This Row],[Closing Stock]]/supply_chain_data[[#This Row],[Forecast Demand]]</f>
        <v>15.8</v>
      </c>
      <c r="W501">
        <v>69836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topLeftCell="H1" workbookViewId="0">
      <pane ySplit="1" topLeftCell="A2" activePane="bottomLeft" state="frozen"/>
      <selection pane="bottomLeft" activeCell="L1" sqref="L1"/>
    </sheetView>
  </sheetViews>
  <sheetFormatPr defaultRowHeight="14.5" x14ac:dyDescent="0.35"/>
  <cols>
    <col min="2" max="2" width="17.54296875" customWidth="1"/>
    <col min="3" max="3" width="14.453125" customWidth="1"/>
    <col min="4" max="4" width="13.08984375" customWidth="1"/>
    <col min="5" max="5" width="14.36328125" customWidth="1"/>
    <col min="6" max="6" width="13.26953125" customWidth="1"/>
    <col min="7" max="7" width="15.81640625" style="1" customWidth="1"/>
    <col min="8" max="17" width="14.36328125" customWidth="1"/>
    <col min="18" max="18" width="14.36328125" style="2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1">
        <v>45292</v>
      </c>
      <c r="H2">
        <v>287</v>
      </c>
      <c r="I2">
        <v>14</v>
      </c>
      <c r="J2">
        <v>3</v>
      </c>
      <c r="K2">
        <v>276</v>
      </c>
      <c r="L2">
        <v>45</v>
      </c>
      <c r="M2">
        <v>601</v>
      </c>
      <c r="N2">
        <v>15</v>
      </c>
      <c r="O2">
        <v>5</v>
      </c>
      <c r="P2" t="s">
        <v>24</v>
      </c>
      <c r="Q2">
        <v>67</v>
      </c>
      <c r="R2" s="2">
        <v>165876</v>
      </c>
    </row>
    <row r="3" spans="1:18" x14ac:dyDescent="0.35">
      <c r="A3" t="s">
        <v>25</v>
      </c>
      <c r="B3" t="s">
        <v>26</v>
      </c>
      <c r="C3" t="s">
        <v>20</v>
      </c>
      <c r="D3" t="s">
        <v>21</v>
      </c>
      <c r="E3" t="s">
        <v>27</v>
      </c>
      <c r="F3" t="s">
        <v>23</v>
      </c>
      <c r="G3" s="1">
        <v>45293</v>
      </c>
      <c r="H3">
        <v>246</v>
      </c>
      <c r="I3">
        <v>37</v>
      </c>
      <c r="J3">
        <v>61</v>
      </c>
      <c r="K3">
        <v>270</v>
      </c>
      <c r="L3">
        <v>49</v>
      </c>
      <c r="M3">
        <v>376</v>
      </c>
      <c r="N3">
        <v>4</v>
      </c>
      <c r="O3">
        <v>10</v>
      </c>
      <c r="P3" t="s">
        <v>24</v>
      </c>
      <c r="Q3">
        <v>17</v>
      </c>
      <c r="R3" s="2">
        <v>101520</v>
      </c>
    </row>
    <row r="4" spans="1:18" x14ac:dyDescent="0.35">
      <c r="A4" t="s">
        <v>28</v>
      </c>
      <c r="B4" t="s">
        <v>29</v>
      </c>
      <c r="C4" t="s">
        <v>20</v>
      </c>
      <c r="D4" t="s">
        <v>21</v>
      </c>
      <c r="E4" t="s">
        <v>27</v>
      </c>
      <c r="F4" t="s">
        <v>30</v>
      </c>
      <c r="G4" s="1">
        <v>45294</v>
      </c>
      <c r="H4">
        <v>132</v>
      </c>
      <c r="I4">
        <v>38</v>
      </c>
      <c r="J4">
        <v>67</v>
      </c>
      <c r="K4">
        <v>161</v>
      </c>
      <c r="L4">
        <v>100</v>
      </c>
      <c r="M4">
        <v>587</v>
      </c>
      <c r="N4">
        <v>12</v>
      </c>
      <c r="O4">
        <v>10</v>
      </c>
      <c r="P4" t="s">
        <v>24</v>
      </c>
      <c r="Q4">
        <v>22</v>
      </c>
      <c r="R4" s="2">
        <v>94507</v>
      </c>
    </row>
    <row r="5" spans="1:18" x14ac:dyDescent="0.35">
      <c r="A5" t="s">
        <v>18</v>
      </c>
      <c r="B5" t="s">
        <v>19</v>
      </c>
      <c r="C5" t="s">
        <v>20</v>
      </c>
      <c r="D5" t="s">
        <v>31</v>
      </c>
      <c r="E5" t="s">
        <v>32</v>
      </c>
      <c r="F5" t="s">
        <v>33</v>
      </c>
      <c r="G5" s="1">
        <v>45295</v>
      </c>
      <c r="H5">
        <v>257</v>
      </c>
      <c r="I5">
        <v>32</v>
      </c>
      <c r="J5">
        <v>59</v>
      </c>
      <c r="K5">
        <v>284</v>
      </c>
      <c r="L5">
        <v>49</v>
      </c>
      <c r="M5">
        <v>1366</v>
      </c>
      <c r="N5">
        <v>13</v>
      </c>
      <c r="O5">
        <v>8</v>
      </c>
      <c r="P5" t="s">
        <v>24</v>
      </c>
      <c r="Q5">
        <v>26</v>
      </c>
      <c r="R5" s="2">
        <v>387944</v>
      </c>
    </row>
    <row r="6" spans="1:18" x14ac:dyDescent="0.35">
      <c r="A6" t="s">
        <v>34</v>
      </c>
      <c r="B6" t="s">
        <v>35</v>
      </c>
      <c r="C6" t="s">
        <v>20</v>
      </c>
      <c r="D6" t="s">
        <v>21</v>
      </c>
      <c r="E6" t="s">
        <v>22</v>
      </c>
      <c r="F6" t="s">
        <v>33</v>
      </c>
      <c r="G6" s="1">
        <v>45296</v>
      </c>
      <c r="H6">
        <v>158</v>
      </c>
      <c r="I6">
        <v>32</v>
      </c>
      <c r="J6">
        <v>37</v>
      </c>
      <c r="K6">
        <v>163</v>
      </c>
      <c r="L6">
        <v>55</v>
      </c>
      <c r="M6">
        <v>1009</v>
      </c>
      <c r="N6">
        <v>7</v>
      </c>
      <c r="O6">
        <v>7</v>
      </c>
      <c r="P6" t="s">
        <v>24</v>
      </c>
      <c r="Q6">
        <v>28</v>
      </c>
      <c r="R6" s="2">
        <v>164467</v>
      </c>
    </row>
    <row r="7" spans="1:18" x14ac:dyDescent="0.35">
      <c r="A7" t="s">
        <v>25</v>
      </c>
      <c r="B7" t="s">
        <v>26</v>
      </c>
      <c r="C7" t="s">
        <v>20</v>
      </c>
      <c r="D7" t="s">
        <v>31</v>
      </c>
      <c r="E7" t="s">
        <v>32</v>
      </c>
      <c r="F7" t="s">
        <v>30</v>
      </c>
      <c r="G7" s="1">
        <v>45297</v>
      </c>
      <c r="H7">
        <v>51</v>
      </c>
      <c r="I7">
        <v>48</v>
      </c>
      <c r="J7">
        <v>2</v>
      </c>
      <c r="K7">
        <v>5</v>
      </c>
      <c r="L7">
        <v>68</v>
      </c>
      <c r="M7">
        <v>1386</v>
      </c>
      <c r="N7">
        <v>15</v>
      </c>
      <c r="O7">
        <v>6</v>
      </c>
      <c r="P7" t="s">
        <v>36</v>
      </c>
      <c r="Q7">
        <v>55</v>
      </c>
      <c r="R7" s="2">
        <v>6930</v>
      </c>
    </row>
    <row r="8" spans="1:18" x14ac:dyDescent="0.35">
      <c r="A8" t="s">
        <v>18</v>
      </c>
      <c r="B8" t="s">
        <v>19</v>
      </c>
      <c r="C8" t="s">
        <v>20</v>
      </c>
      <c r="D8" t="s">
        <v>37</v>
      </c>
      <c r="E8" t="s">
        <v>38</v>
      </c>
      <c r="F8" t="s">
        <v>23</v>
      </c>
      <c r="G8" s="1">
        <v>45298</v>
      </c>
      <c r="H8">
        <v>87</v>
      </c>
      <c r="I8">
        <v>50</v>
      </c>
      <c r="J8">
        <v>21</v>
      </c>
      <c r="K8">
        <v>58</v>
      </c>
      <c r="L8">
        <v>89</v>
      </c>
      <c r="M8">
        <v>713</v>
      </c>
      <c r="N8">
        <v>7</v>
      </c>
      <c r="O8">
        <v>4</v>
      </c>
      <c r="P8" t="s">
        <v>36</v>
      </c>
      <c r="Q8">
        <v>38</v>
      </c>
      <c r="R8" s="2">
        <v>41354</v>
      </c>
    </row>
    <row r="9" spans="1:18" x14ac:dyDescent="0.35">
      <c r="A9" t="s">
        <v>34</v>
      </c>
      <c r="B9" t="s">
        <v>35</v>
      </c>
      <c r="C9" t="s">
        <v>20</v>
      </c>
      <c r="D9" t="s">
        <v>39</v>
      </c>
      <c r="E9" t="s">
        <v>40</v>
      </c>
      <c r="F9" t="s">
        <v>23</v>
      </c>
      <c r="G9" s="1">
        <v>45299</v>
      </c>
      <c r="H9">
        <v>211</v>
      </c>
      <c r="I9">
        <v>5</v>
      </c>
      <c r="J9">
        <v>17</v>
      </c>
      <c r="K9">
        <v>223</v>
      </c>
      <c r="L9">
        <v>41</v>
      </c>
      <c r="M9">
        <v>1058</v>
      </c>
      <c r="N9">
        <v>8</v>
      </c>
      <c r="O9">
        <v>2</v>
      </c>
      <c r="P9" t="s">
        <v>24</v>
      </c>
      <c r="Q9">
        <v>70</v>
      </c>
      <c r="R9" s="2">
        <v>235934</v>
      </c>
    </row>
    <row r="10" spans="1:18" x14ac:dyDescent="0.35">
      <c r="A10" t="s">
        <v>41</v>
      </c>
      <c r="B10" t="s">
        <v>42</v>
      </c>
      <c r="C10" t="s">
        <v>20</v>
      </c>
      <c r="D10" t="s">
        <v>43</v>
      </c>
      <c r="E10" t="s">
        <v>44</v>
      </c>
      <c r="F10" t="s">
        <v>23</v>
      </c>
      <c r="G10" s="1">
        <v>45300</v>
      </c>
      <c r="H10">
        <v>113</v>
      </c>
      <c r="I10">
        <v>18</v>
      </c>
      <c r="J10">
        <v>64</v>
      </c>
      <c r="K10">
        <v>159</v>
      </c>
      <c r="L10">
        <v>43</v>
      </c>
      <c r="M10">
        <v>712</v>
      </c>
      <c r="N10">
        <v>14</v>
      </c>
      <c r="O10">
        <v>7</v>
      </c>
      <c r="P10" t="s">
        <v>24</v>
      </c>
      <c r="Q10">
        <v>22</v>
      </c>
      <c r="R10" s="2">
        <v>113208</v>
      </c>
    </row>
    <row r="11" spans="1:18" x14ac:dyDescent="0.35">
      <c r="A11" t="s">
        <v>34</v>
      </c>
      <c r="B11" t="s">
        <v>35</v>
      </c>
      <c r="C11" t="s">
        <v>20</v>
      </c>
      <c r="D11" t="s">
        <v>37</v>
      </c>
      <c r="E11" t="s">
        <v>38</v>
      </c>
      <c r="F11" t="s">
        <v>23</v>
      </c>
      <c r="G11" s="1">
        <v>45301</v>
      </c>
      <c r="H11">
        <v>265</v>
      </c>
      <c r="I11">
        <v>36</v>
      </c>
      <c r="J11">
        <v>1</v>
      </c>
      <c r="K11">
        <v>230</v>
      </c>
      <c r="L11">
        <v>68</v>
      </c>
      <c r="M11">
        <v>265</v>
      </c>
      <c r="N11">
        <v>10</v>
      </c>
      <c r="O11">
        <v>5</v>
      </c>
      <c r="P11" t="s">
        <v>24</v>
      </c>
      <c r="Q11">
        <v>70</v>
      </c>
      <c r="R11" s="2">
        <v>60950</v>
      </c>
    </row>
    <row r="12" spans="1:18" x14ac:dyDescent="0.35">
      <c r="A12" t="s">
        <v>18</v>
      </c>
      <c r="B12" t="s">
        <v>19</v>
      </c>
      <c r="C12" t="s">
        <v>20</v>
      </c>
      <c r="D12" t="s">
        <v>39</v>
      </c>
      <c r="E12" t="s">
        <v>45</v>
      </c>
      <c r="F12" t="s">
        <v>30</v>
      </c>
      <c r="G12" s="1">
        <v>45302</v>
      </c>
      <c r="H12">
        <v>232</v>
      </c>
      <c r="I12">
        <v>44</v>
      </c>
      <c r="J12">
        <v>80</v>
      </c>
      <c r="K12">
        <v>268</v>
      </c>
      <c r="L12">
        <v>60</v>
      </c>
      <c r="M12">
        <v>1178</v>
      </c>
      <c r="N12">
        <v>8</v>
      </c>
      <c r="O12">
        <v>2</v>
      </c>
      <c r="P12" t="s">
        <v>24</v>
      </c>
      <c r="Q12">
        <v>29</v>
      </c>
      <c r="R12" s="2">
        <v>315704</v>
      </c>
    </row>
    <row r="13" spans="1:18" x14ac:dyDescent="0.3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s="1">
        <v>45303</v>
      </c>
      <c r="H13">
        <v>70</v>
      </c>
      <c r="I13">
        <v>22</v>
      </c>
      <c r="J13">
        <v>0</v>
      </c>
      <c r="K13">
        <v>48</v>
      </c>
      <c r="L13">
        <v>46</v>
      </c>
      <c r="M13">
        <v>1147</v>
      </c>
      <c r="N13">
        <v>5</v>
      </c>
      <c r="O13">
        <v>10</v>
      </c>
      <c r="P13" t="s">
        <v>24</v>
      </c>
      <c r="Q13">
        <v>40</v>
      </c>
      <c r="R13" s="2">
        <v>55056</v>
      </c>
    </row>
    <row r="14" spans="1:18" x14ac:dyDescent="0.35">
      <c r="A14" t="s">
        <v>25</v>
      </c>
      <c r="B14" t="s">
        <v>26</v>
      </c>
      <c r="C14" t="s">
        <v>20</v>
      </c>
      <c r="D14" t="s">
        <v>39</v>
      </c>
      <c r="E14" t="s">
        <v>40</v>
      </c>
      <c r="F14" t="s">
        <v>33</v>
      </c>
      <c r="G14" s="1">
        <v>45304</v>
      </c>
      <c r="H14">
        <v>176</v>
      </c>
      <c r="I14">
        <v>37</v>
      </c>
      <c r="J14">
        <v>65</v>
      </c>
      <c r="K14">
        <v>204</v>
      </c>
      <c r="L14">
        <v>66</v>
      </c>
      <c r="M14">
        <v>1061</v>
      </c>
      <c r="N14">
        <v>4</v>
      </c>
      <c r="O14">
        <v>4</v>
      </c>
      <c r="P14" t="s">
        <v>24</v>
      </c>
      <c r="Q14">
        <v>42</v>
      </c>
      <c r="R14" s="2">
        <v>216444</v>
      </c>
    </row>
    <row r="15" spans="1:18" x14ac:dyDescent="0.35">
      <c r="A15" t="s">
        <v>34</v>
      </c>
      <c r="B15" t="s">
        <v>35</v>
      </c>
      <c r="C15" t="s">
        <v>20</v>
      </c>
      <c r="D15" t="s">
        <v>37</v>
      </c>
      <c r="E15" t="s">
        <v>38</v>
      </c>
      <c r="F15" t="s">
        <v>23</v>
      </c>
      <c r="G15" s="1">
        <v>45305</v>
      </c>
      <c r="H15">
        <v>256</v>
      </c>
      <c r="I15">
        <v>44</v>
      </c>
      <c r="J15">
        <v>70</v>
      </c>
      <c r="K15">
        <v>282</v>
      </c>
      <c r="L15">
        <v>71</v>
      </c>
      <c r="M15">
        <v>862</v>
      </c>
      <c r="N15">
        <v>5</v>
      </c>
      <c r="O15">
        <v>2</v>
      </c>
      <c r="P15" t="s">
        <v>24</v>
      </c>
      <c r="Q15">
        <v>52</v>
      </c>
      <c r="R15" s="2">
        <v>243084</v>
      </c>
    </row>
    <row r="16" spans="1:18" x14ac:dyDescent="0.35">
      <c r="A16" t="s">
        <v>18</v>
      </c>
      <c r="B16" t="s">
        <v>19</v>
      </c>
      <c r="C16" t="s">
        <v>20</v>
      </c>
      <c r="D16" t="s">
        <v>21</v>
      </c>
      <c r="E16" t="s">
        <v>27</v>
      </c>
      <c r="F16" t="s">
        <v>33</v>
      </c>
      <c r="G16" s="1">
        <v>45306</v>
      </c>
      <c r="H16">
        <v>95</v>
      </c>
      <c r="I16">
        <v>59</v>
      </c>
      <c r="J16">
        <v>42</v>
      </c>
      <c r="K16">
        <v>78</v>
      </c>
      <c r="L16">
        <v>60</v>
      </c>
      <c r="M16">
        <v>310</v>
      </c>
      <c r="N16">
        <v>9</v>
      </c>
      <c r="O16">
        <v>10</v>
      </c>
      <c r="P16" t="s">
        <v>24</v>
      </c>
      <c r="Q16">
        <v>10</v>
      </c>
      <c r="R16" s="2">
        <v>24180</v>
      </c>
    </row>
    <row r="17" spans="1:18" x14ac:dyDescent="0.35">
      <c r="A17" t="s">
        <v>34</v>
      </c>
      <c r="B17" t="s">
        <v>35</v>
      </c>
      <c r="C17" t="s">
        <v>20</v>
      </c>
      <c r="D17" t="s">
        <v>31</v>
      </c>
      <c r="E17" t="s">
        <v>32</v>
      </c>
      <c r="F17" t="s">
        <v>23</v>
      </c>
      <c r="G17" s="1">
        <v>45307</v>
      </c>
      <c r="H17">
        <v>65</v>
      </c>
      <c r="I17">
        <v>29</v>
      </c>
      <c r="J17">
        <v>29</v>
      </c>
      <c r="K17">
        <v>65</v>
      </c>
      <c r="L17">
        <v>73</v>
      </c>
      <c r="M17">
        <v>452</v>
      </c>
      <c r="N17">
        <v>11</v>
      </c>
      <c r="O17">
        <v>1</v>
      </c>
      <c r="P17" t="s">
        <v>36</v>
      </c>
      <c r="Q17">
        <v>60</v>
      </c>
      <c r="R17" s="2">
        <v>29380</v>
      </c>
    </row>
    <row r="18" spans="1:18" x14ac:dyDescent="0.35">
      <c r="A18" t="s">
        <v>18</v>
      </c>
      <c r="B18" t="s">
        <v>19</v>
      </c>
      <c r="C18" t="s">
        <v>20</v>
      </c>
      <c r="D18" t="s">
        <v>31</v>
      </c>
      <c r="E18" t="s">
        <v>32</v>
      </c>
      <c r="F18" t="s">
        <v>30</v>
      </c>
      <c r="G18" s="1">
        <v>45308</v>
      </c>
      <c r="H18">
        <v>285</v>
      </c>
      <c r="I18">
        <v>6</v>
      </c>
      <c r="J18">
        <v>23</v>
      </c>
      <c r="K18">
        <v>302</v>
      </c>
      <c r="L18">
        <v>58</v>
      </c>
      <c r="M18">
        <v>1426</v>
      </c>
      <c r="N18">
        <v>10</v>
      </c>
      <c r="O18">
        <v>4</v>
      </c>
      <c r="P18" t="s">
        <v>24</v>
      </c>
      <c r="Q18">
        <v>67</v>
      </c>
      <c r="R18" s="2">
        <v>430652</v>
      </c>
    </row>
    <row r="19" spans="1:18" x14ac:dyDescent="0.35">
      <c r="A19" t="s">
        <v>18</v>
      </c>
      <c r="B19" t="s">
        <v>19</v>
      </c>
      <c r="C19" t="s">
        <v>20</v>
      </c>
      <c r="D19" t="s">
        <v>37</v>
      </c>
      <c r="E19" t="s">
        <v>46</v>
      </c>
      <c r="F19" t="s">
        <v>30</v>
      </c>
      <c r="G19" s="1">
        <v>45309</v>
      </c>
      <c r="H19">
        <v>57</v>
      </c>
      <c r="I19">
        <v>50</v>
      </c>
      <c r="J19">
        <v>51</v>
      </c>
      <c r="K19">
        <v>58</v>
      </c>
      <c r="L19">
        <v>78</v>
      </c>
      <c r="M19">
        <v>62</v>
      </c>
      <c r="N19">
        <v>13</v>
      </c>
      <c r="O19">
        <v>6</v>
      </c>
      <c r="P19" t="s">
        <v>36</v>
      </c>
      <c r="Q19">
        <v>23</v>
      </c>
      <c r="R19" s="2">
        <v>3596</v>
      </c>
    </row>
    <row r="20" spans="1:18" x14ac:dyDescent="0.35">
      <c r="A20" t="s">
        <v>18</v>
      </c>
      <c r="B20" t="s">
        <v>19</v>
      </c>
      <c r="C20" t="s">
        <v>20</v>
      </c>
      <c r="D20" t="s">
        <v>39</v>
      </c>
      <c r="E20" t="s">
        <v>45</v>
      </c>
      <c r="F20" t="s">
        <v>23</v>
      </c>
      <c r="G20" s="1">
        <v>45310</v>
      </c>
      <c r="H20">
        <v>281</v>
      </c>
      <c r="I20">
        <v>29</v>
      </c>
      <c r="J20">
        <v>12</v>
      </c>
      <c r="K20">
        <v>264</v>
      </c>
      <c r="L20">
        <v>62</v>
      </c>
      <c r="M20">
        <v>1353</v>
      </c>
      <c r="N20">
        <v>14</v>
      </c>
      <c r="O20">
        <v>9</v>
      </c>
      <c r="P20" t="s">
        <v>24</v>
      </c>
      <c r="Q20">
        <v>69</v>
      </c>
      <c r="R20" s="2">
        <v>357192</v>
      </c>
    </row>
    <row r="21" spans="1:18" x14ac:dyDescent="0.35">
      <c r="A21" t="s">
        <v>18</v>
      </c>
      <c r="B21" t="s">
        <v>19</v>
      </c>
      <c r="C21" t="s">
        <v>20</v>
      </c>
      <c r="D21" t="s">
        <v>37</v>
      </c>
      <c r="E21" t="s">
        <v>38</v>
      </c>
      <c r="F21" t="s">
        <v>23</v>
      </c>
      <c r="G21" s="1">
        <v>45311</v>
      </c>
      <c r="H21">
        <v>246</v>
      </c>
      <c r="I21">
        <v>6</v>
      </c>
      <c r="J21">
        <v>36</v>
      </c>
      <c r="K21">
        <v>276</v>
      </c>
      <c r="L21">
        <v>94</v>
      </c>
      <c r="M21">
        <v>1131</v>
      </c>
      <c r="N21">
        <v>7</v>
      </c>
      <c r="O21">
        <v>9</v>
      </c>
      <c r="P21" t="s">
        <v>24</v>
      </c>
      <c r="Q21">
        <v>49</v>
      </c>
      <c r="R21" s="2">
        <v>312156</v>
      </c>
    </row>
    <row r="22" spans="1:18" x14ac:dyDescent="0.35">
      <c r="A22" t="s">
        <v>25</v>
      </c>
      <c r="B22" t="s">
        <v>26</v>
      </c>
      <c r="C22" t="s">
        <v>20</v>
      </c>
      <c r="D22" t="s">
        <v>21</v>
      </c>
      <c r="E22" t="s">
        <v>27</v>
      </c>
      <c r="F22" t="s">
        <v>30</v>
      </c>
      <c r="G22" s="1">
        <v>45312</v>
      </c>
      <c r="H22">
        <v>250</v>
      </c>
      <c r="I22">
        <v>27</v>
      </c>
      <c r="J22">
        <v>26</v>
      </c>
      <c r="K22">
        <v>249</v>
      </c>
      <c r="L22">
        <v>73</v>
      </c>
      <c r="M22">
        <v>66</v>
      </c>
      <c r="N22">
        <v>6</v>
      </c>
      <c r="O22">
        <v>6</v>
      </c>
      <c r="P22" t="s">
        <v>24</v>
      </c>
      <c r="Q22">
        <v>15</v>
      </c>
      <c r="R22" s="2">
        <v>16434</v>
      </c>
    </row>
    <row r="23" spans="1:18" x14ac:dyDescent="0.35">
      <c r="A23" t="s">
        <v>28</v>
      </c>
      <c r="B23" t="s">
        <v>29</v>
      </c>
      <c r="C23" t="s">
        <v>20</v>
      </c>
      <c r="D23" t="s">
        <v>43</v>
      </c>
      <c r="E23" t="s">
        <v>44</v>
      </c>
      <c r="F23" t="s">
        <v>30</v>
      </c>
      <c r="G23" s="1">
        <v>45313</v>
      </c>
      <c r="H23">
        <v>246</v>
      </c>
      <c r="I23">
        <v>52</v>
      </c>
      <c r="J23">
        <v>37</v>
      </c>
      <c r="K23">
        <v>231</v>
      </c>
      <c r="L23">
        <v>85</v>
      </c>
      <c r="M23">
        <v>63</v>
      </c>
      <c r="N23">
        <v>4</v>
      </c>
      <c r="O23">
        <v>9</v>
      </c>
      <c r="P23" t="s">
        <v>24</v>
      </c>
      <c r="Q23">
        <v>54</v>
      </c>
      <c r="R23" s="2">
        <v>14553</v>
      </c>
    </row>
    <row r="24" spans="1:18" x14ac:dyDescent="0.35">
      <c r="A24" t="s">
        <v>41</v>
      </c>
      <c r="B24" t="s">
        <v>42</v>
      </c>
      <c r="C24" t="s">
        <v>20</v>
      </c>
      <c r="D24" t="s">
        <v>39</v>
      </c>
      <c r="E24" t="s">
        <v>40</v>
      </c>
      <c r="F24" t="s">
        <v>23</v>
      </c>
      <c r="G24" s="1">
        <v>45314</v>
      </c>
      <c r="H24">
        <v>241</v>
      </c>
      <c r="I24">
        <v>51</v>
      </c>
      <c r="J24">
        <v>55</v>
      </c>
      <c r="K24">
        <v>245</v>
      </c>
      <c r="L24">
        <v>72</v>
      </c>
      <c r="M24">
        <v>606</v>
      </c>
      <c r="N24">
        <v>5</v>
      </c>
      <c r="O24">
        <v>5</v>
      </c>
      <c r="P24" t="s">
        <v>24</v>
      </c>
      <c r="Q24">
        <v>25</v>
      </c>
      <c r="R24" s="2">
        <v>148470</v>
      </c>
    </row>
    <row r="25" spans="1:18" x14ac:dyDescent="0.35">
      <c r="A25" t="s">
        <v>28</v>
      </c>
      <c r="B25" t="s">
        <v>29</v>
      </c>
      <c r="C25" t="s">
        <v>20</v>
      </c>
      <c r="D25" t="s">
        <v>43</v>
      </c>
      <c r="E25" t="s">
        <v>44</v>
      </c>
      <c r="F25" t="s">
        <v>30</v>
      </c>
      <c r="G25" s="1">
        <v>45315</v>
      </c>
      <c r="H25">
        <v>230</v>
      </c>
      <c r="I25">
        <v>10</v>
      </c>
      <c r="J25">
        <v>24</v>
      </c>
      <c r="K25">
        <v>244</v>
      </c>
      <c r="L25">
        <v>54</v>
      </c>
      <c r="M25">
        <v>177</v>
      </c>
      <c r="N25">
        <v>9</v>
      </c>
      <c r="O25">
        <v>3</v>
      </c>
      <c r="P25" t="s">
        <v>24</v>
      </c>
      <c r="Q25">
        <v>60</v>
      </c>
      <c r="R25" s="2">
        <v>43188</v>
      </c>
    </row>
    <row r="26" spans="1:18" x14ac:dyDescent="0.35">
      <c r="A26" t="s">
        <v>28</v>
      </c>
      <c r="B26" t="s">
        <v>29</v>
      </c>
      <c r="C26" t="s">
        <v>20</v>
      </c>
      <c r="D26" t="s">
        <v>31</v>
      </c>
      <c r="E26" t="s">
        <v>47</v>
      </c>
      <c r="F26" t="s">
        <v>30</v>
      </c>
      <c r="G26" s="1">
        <v>45316</v>
      </c>
      <c r="H26">
        <v>82</v>
      </c>
      <c r="I26">
        <v>7</v>
      </c>
      <c r="J26">
        <v>57</v>
      </c>
      <c r="K26">
        <v>132</v>
      </c>
      <c r="L26">
        <v>45</v>
      </c>
      <c r="M26">
        <v>645</v>
      </c>
      <c r="N26">
        <v>13</v>
      </c>
      <c r="O26">
        <v>3</v>
      </c>
      <c r="P26" t="s">
        <v>24</v>
      </c>
      <c r="Q26">
        <v>32</v>
      </c>
      <c r="R26" s="2">
        <v>85140</v>
      </c>
    </row>
    <row r="27" spans="1:18" x14ac:dyDescent="0.35">
      <c r="A27" t="s">
        <v>41</v>
      </c>
      <c r="B27" t="s">
        <v>42</v>
      </c>
      <c r="C27" t="s">
        <v>20</v>
      </c>
      <c r="D27" t="s">
        <v>21</v>
      </c>
      <c r="E27" t="s">
        <v>27</v>
      </c>
      <c r="F27" t="s">
        <v>33</v>
      </c>
      <c r="G27" s="1">
        <v>45317</v>
      </c>
      <c r="H27">
        <v>250</v>
      </c>
      <c r="I27">
        <v>53</v>
      </c>
      <c r="J27">
        <v>54</v>
      </c>
      <c r="K27">
        <v>251</v>
      </c>
      <c r="L27">
        <v>76</v>
      </c>
      <c r="M27">
        <v>1266</v>
      </c>
      <c r="N27">
        <v>10</v>
      </c>
      <c r="O27">
        <v>6</v>
      </c>
      <c r="P27" t="s">
        <v>24</v>
      </c>
      <c r="Q27">
        <v>45</v>
      </c>
      <c r="R27" s="2">
        <v>317766</v>
      </c>
    </row>
    <row r="28" spans="1:18" x14ac:dyDescent="0.35">
      <c r="A28" t="s">
        <v>25</v>
      </c>
      <c r="B28" t="s">
        <v>26</v>
      </c>
      <c r="C28" t="s">
        <v>20</v>
      </c>
      <c r="D28" t="s">
        <v>31</v>
      </c>
      <c r="E28" t="s">
        <v>47</v>
      </c>
      <c r="F28" t="s">
        <v>30</v>
      </c>
      <c r="G28" s="1">
        <v>45318</v>
      </c>
      <c r="H28">
        <v>273</v>
      </c>
      <c r="I28">
        <v>54</v>
      </c>
      <c r="J28">
        <v>77</v>
      </c>
      <c r="K28">
        <v>296</v>
      </c>
      <c r="L28">
        <v>53</v>
      </c>
      <c r="M28">
        <v>1248</v>
      </c>
      <c r="N28">
        <v>4</v>
      </c>
      <c r="O28">
        <v>6</v>
      </c>
      <c r="P28" t="s">
        <v>24</v>
      </c>
      <c r="Q28">
        <v>29</v>
      </c>
      <c r="R28" s="2">
        <v>369408</v>
      </c>
    </row>
    <row r="29" spans="1:18" x14ac:dyDescent="0.35">
      <c r="A29" t="s">
        <v>18</v>
      </c>
      <c r="B29" t="s">
        <v>19</v>
      </c>
      <c r="C29" t="s">
        <v>20</v>
      </c>
      <c r="D29" t="s">
        <v>31</v>
      </c>
      <c r="E29" t="s">
        <v>47</v>
      </c>
      <c r="F29" t="s">
        <v>30</v>
      </c>
      <c r="G29" s="1">
        <v>45319</v>
      </c>
      <c r="H29">
        <v>135</v>
      </c>
      <c r="I29">
        <v>22</v>
      </c>
      <c r="J29">
        <v>1</v>
      </c>
      <c r="K29">
        <v>114</v>
      </c>
      <c r="L29">
        <v>99</v>
      </c>
      <c r="M29">
        <v>583</v>
      </c>
      <c r="N29">
        <v>13</v>
      </c>
      <c r="O29">
        <v>6</v>
      </c>
      <c r="P29" t="s">
        <v>24</v>
      </c>
      <c r="Q29">
        <v>29</v>
      </c>
      <c r="R29" s="2">
        <v>66462</v>
      </c>
    </row>
    <row r="30" spans="1:18" x14ac:dyDescent="0.35">
      <c r="A30" t="s">
        <v>41</v>
      </c>
      <c r="B30" t="s">
        <v>42</v>
      </c>
      <c r="C30" t="s">
        <v>20</v>
      </c>
      <c r="D30" t="s">
        <v>21</v>
      </c>
      <c r="E30" t="s">
        <v>27</v>
      </c>
      <c r="F30" t="s">
        <v>23</v>
      </c>
      <c r="G30" s="1">
        <v>45320</v>
      </c>
      <c r="H30">
        <v>55</v>
      </c>
      <c r="I30">
        <v>55</v>
      </c>
      <c r="J30">
        <v>36</v>
      </c>
      <c r="K30">
        <v>36</v>
      </c>
      <c r="L30">
        <v>49</v>
      </c>
      <c r="M30">
        <v>1066</v>
      </c>
      <c r="N30">
        <v>10</v>
      </c>
      <c r="O30">
        <v>3</v>
      </c>
      <c r="P30" t="s">
        <v>36</v>
      </c>
      <c r="Q30">
        <v>24</v>
      </c>
      <c r="R30" s="2">
        <v>38376</v>
      </c>
    </row>
    <row r="31" spans="1:18" x14ac:dyDescent="0.35">
      <c r="A31" t="s">
        <v>25</v>
      </c>
      <c r="B31" t="s">
        <v>26</v>
      </c>
      <c r="C31" t="s">
        <v>20</v>
      </c>
      <c r="D31" t="s">
        <v>31</v>
      </c>
      <c r="E31" t="s">
        <v>32</v>
      </c>
      <c r="F31" t="s">
        <v>33</v>
      </c>
      <c r="G31" s="1">
        <v>45321</v>
      </c>
      <c r="H31">
        <v>210</v>
      </c>
      <c r="I31">
        <v>27</v>
      </c>
      <c r="J31">
        <v>2</v>
      </c>
      <c r="K31">
        <v>185</v>
      </c>
      <c r="L31">
        <v>80</v>
      </c>
      <c r="M31">
        <v>151</v>
      </c>
      <c r="N31">
        <v>2</v>
      </c>
      <c r="O31">
        <v>1</v>
      </c>
      <c r="P31" t="s">
        <v>24</v>
      </c>
      <c r="Q31">
        <v>28</v>
      </c>
      <c r="R31" s="2">
        <v>27935</v>
      </c>
    </row>
    <row r="32" spans="1:18" x14ac:dyDescent="0.35">
      <c r="A32" t="s">
        <v>18</v>
      </c>
      <c r="B32" t="s">
        <v>19</v>
      </c>
      <c r="C32" t="s">
        <v>20</v>
      </c>
      <c r="D32" t="s">
        <v>39</v>
      </c>
      <c r="E32" t="s">
        <v>45</v>
      </c>
      <c r="F32" t="s">
        <v>23</v>
      </c>
      <c r="G32" s="1">
        <v>45322</v>
      </c>
      <c r="H32">
        <v>249</v>
      </c>
      <c r="I32">
        <v>42</v>
      </c>
      <c r="J32">
        <v>12</v>
      </c>
      <c r="K32">
        <v>219</v>
      </c>
      <c r="L32">
        <v>44</v>
      </c>
      <c r="M32">
        <v>898</v>
      </c>
      <c r="N32">
        <v>15</v>
      </c>
      <c r="O32">
        <v>0</v>
      </c>
      <c r="P32" t="s">
        <v>24</v>
      </c>
      <c r="Q32">
        <v>31</v>
      </c>
      <c r="R32" s="2">
        <v>196662</v>
      </c>
    </row>
    <row r="33" spans="1:18" x14ac:dyDescent="0.35">
      <c r="A33" t="s">
        <v>41</v>
      </c>
      <c r="B33" t="s">
        <v>42</v>
      </c>
      <c r="C33" t="s">
        <v>20</v>
      </c>
      <c r="D33" t="s">
        <v>43</v>
      </c>
      <c r="E33" t="s">
        <v>44</v>
      </c>
      <c r="F33" t="s">
        <v>23</v>
      </c>
      <c r="G33" s="1">
        <v>45323</v>
      </c>
      <c r="H33">
        <v>206</v>
      </c>
      <c r="I33">
        <v>22</v>
      </c>
      <c r="J33">
        <v>27</v>
      </c>
      <c r="K33">
        <v>211</v>
      </c>
      <c r="L33">
        <v>65</v>
      </c>
      <c r="M33">
        <v>1002</v>
      </c>
      <c r="N33">
        <v>11</v>
      </c>
      <c r="O33">
        <v>8</v>
      </c>
      <c r="P33" t="s">
        <v>24</v>
      </c>
      <c r="Q33">
        <v>29</v>
      </c>
      <c r="R33" s="2">
        <v>211422</v>
      </c>
    </row>
    <row r="34" spans="1:18" x14ac:dyDescent="0.35">
      <c r="A34" t="s">
        <v>41</v>
      </c>
      <c r="B34" t="s">
        <v>42</v>
      </c>
      <c r="C34" t="s">
        <v>20</v>
      </c>
      <c r="D34" t="s">
        <v>21</v>
      </c>
      <c r="E34" t="s">
        <v>27</v>
      </c>
      <c r="F34" t="s">
        <v>33</v>
      </c>
      <c r="G34" s="1">
        <v>45324</v>
      </c>
      <c r="H34">
        <v>296</v>
      </c>
      <c r="I34">
        <v>42</v>
      </c>
      <c r="J34">
        <v>37</v>
      </c>
      <c r="K34">
        <v>291</v>
      </c>
      <c r="L34">
        <v>91</v>
      </c>
      <c r="M34">
        <v>202</v>
      </c>
      <c r="N34">
        <v>11</v>
      </c>
      <c r="O34">
        <v>3</v>
      </c>
      <c r="P34" t="s">
        <v>24</v>
      </c>
      <c r="Q34">
        <v>18</v>
      </c>
      <c r="R34" s="2">
        <v>58782</v>
      </c>
    </row>
    <row r="35" spans="1:18" x14ac:dyDescent="0.35">
      <c r="A35" t="s">
        <v>18</v>
      </c>
      <c r="B35" t="s">
        <v>19</v>
      </c>
      <c r="C35" t="s">
        <v>20</v>
      </c>
      <c r="D35" t="s">
        <v>37</v>
      </c>
      <c r="E35" t="s">
        <v>38</v>
      </c>
      <c r="F35" t="s">
        <v>33</v>
      </c>
      <c r="G35" s="1">
        <v>45325</v>
      </c>
      <c r="H35">
        <v>253</v>
      </c>
      <c r="I35">
        <v>37</v>
      </c>
      <c r="J35">
        <v>9</v>
      </c>
      <c r="K35">
        <v>225</v>
      </c>
      <c r="L35">
        <v>84</v>
      </c>
      <c r="M35">
        <v>597</v>
      </c>
      <c r="N35">
        <v>12</v>
      </c>
      <c r="O35">
        <v>9</v>
      </c>
      <c r="P35" t="s">
        <v>24</v>
      </c>
      <c r="Q35">
        <v>58</v>
      </c>
      <c r="R35" s="2">
        <v>134325</v>
      </c>
    </row>
    <row r="36" spans="1:18" x14ac:dyDescent="0.35">
      <c r="A36" t="s">
        <v>28</v>
      </c>
      <c r="B36" t="s">
        <v>29</v>
      </c>
      <c r="C36" t="s">
        <v>20</v>
      </c>
      <c r="D36" t="s">
        <v>43</v>
      </c>
      <c r="E36" t="s">
        <v>48</v>
      </c>
      <c r="F36" t="s">
        <v>33</v>
      </c>
      <c r="G36" s="1">
        <v>45326</v>
      </c>
      <c r="H36">
        <v>200</v>
      </c>
      <c r="I36">
        <v>22</v>
      </c>
      <c r="J36">
        <v>56</v>
      </c>
      <c r="K36">
        <v>234</v>
      </c>
      <c r="L36">
        <v>97</v>
      </c>
      <c r="M36">
        <v>1102</v>
      </c>
      <c r="N36">
        <v>15</v>
      </c>
      <c r="O36">
        <v>9</v>
      </c>
      <c r="P36" t="s">
        <v>24</v>
      </c>
      <c r="Q36">
        <v>21</v>
      </c>
      <c r="R36" s="2">
        <v>257868</v>
      </c>
    </row>
    <row r="37" spans="1:18" x14ac:dyDescent="0.35">
      <c r="A37" t="s">
        <v>41</v>
      </c>
      <c r="B37" t="s">
        <v>42</v>
      </c>
      <c r="C37" t="s">
        <v>20</v>
      </c>
      <c r="D37" t="s">
        <v>21</v>
      </c>
      <c r="E37" t="s">
        <v>27</v>
      </c>
      <c r="F37" t="s">
        <v>33</v>
      </c>
      <c r="G37" s="1">
        <v>45327</v>
      </c>
      <c r="H37">
        <v>91</v>
      </c>
      <c r="I37">
        <v>17</v>
      </c>
      <c r="J37">
        <v>65</v>
      </c>
      <c r="K37">
        <v>139</v>
      </c>
      <c r="L37">
        <v>83</v>
      </c>
      <c r="M37">
        <v>465</v>
      </c>
      <c r="N37">
        <v>4</v>
      </c>
      <c r="O37">
        <v>5</v>
      </c>
      <c r="P37" t="s">
        <v>24</v>
      </c>
      <c r="Q37">
        <v>13</v>
      </c>
      <c r="R37" s="2">
        <v>64635</v>
      </c>
    </row>
    <row r="38" spans="1:18" x14ac:dyDescent="0.35">
      <c r="A38" t="s">
        <v>18</v>
      </c>
      <c r="B38" t="s">
        <v>19</v>
      </c>
      <c r="C38" t="s">
        <v>20</v>
      </c>
      <c r="D38" t="s">
        <v>31</v>
      </c>
      <c r="E38" t="s">
        <v>32</v>
      </c>
      <c r="F38" t="s">
        <v>23</v>
      </c>
      <c r="G38" s="1">
        <v>45328</v>
      </c>
      <c r="H38">
        <v>241</v>
      </c>
      <c r="I38">
        <v>40</v>
      </c>
      <c r="J38">
        <v>58</v>
      </c>
      <c r="K38">
        <v>259</v>
      </c>
      <c r="L38">
        <v>88</v>
      </c>
      <c r="M38">
        <v>1433</v>
      </c>
      <c r="N38">
        <v>10</v>
      </c>
      <c r="O38">
        <v>3</v>
      </c>
      <c r="P38" t="s">
        <v>24</v>
      </c>
      <c r="Q38">
        <v>33</v>
      </c>
      <c r="R38" s="2">
        <v>371147</v>
      </c>
    </row>
    <row r="39" spans="1:18" x14ac:dyDescent="0.35">
      <c r="A39" t="s">
        <v>18</v>
      </c>
      <c r="B39" t="s">
        <v>19</v>
      </c>
      <c r="C39" t="s">
        <v>20</v>
      </c>
      <c r="D39" t="s">
        <v>31</v>
      </c>
      <c r="E39" t="s">
        <v>47</v>
      </c>
      <c r="F39" t="s">
        <v>23</v>
      </c>
      <c r="G39" s="1">
        <v>45329</v>
      </c>
      <c r="H39">
        <v>288</v>
      </c>
      <c r="I39">
        <v>45</v>
      </c>
      <c r="J39">
        <v>45</v>
      </c>
      <c r="K39">
        <v>288</v>
      </c>
      <c r="L39">
        <v>48</v>
      </c>
      <c r="M39">
        <v>804</v>
      </c>
      <c r="N39">
        <v>11</v>
      </c>
      <c r="O39">
        <v>9</v>
      </c>
      <c r="P39" t="s">
        <v>24</v>
      </c>
      <c r="Q39">
        <v>67</v>
      </c>
      <c r="R39" s="2">
        <v>231552</v>
      </c>
    </row>
    <row r="40" spans="1:18" x14ac:dyDescent="0.35">
      <c r="A40" t="s">
        <v>18</v>
      </c>
      <c r="B40" t="s">
        <v>19</v>
      </c>
      <c r="C40" t="s">
        <v>20</v>
      </c>
      <c r="D40" t="s">
        <v>39</v>
      </c>
      <c r="E40" t="s">
        <v>40</v>
      </c>
      <c r="F40" t="s">
        <v>33</v>
      </c>
      <c r="G40" s="1">
        <v>45330</v>
      </c>
      <c r="H40">
        <v>59</v>
      </c>
      <c r="I40">
        <v>42</v>
      </c>
      <c r="J40">
        <v>44</v>
      </c>
      <c r="K40">
        <v>61</v>
      </c>
      <c r="L40">
        <v>88</v>
      </c>
      <c r="M40">
        <v>332</v>
      </c>
      <c r="N40">
        <v>2</v>
      </c>
      <c r="O40">
        <v>9</v>
      </c>
      <c r="P40" t="s">
        <v>36</v>
      </c>
      <c r="Q40">
        <v>30</v>
      </c>
      <c r="R40" s="2">
        <v>20252</v>
      </c>
    </row>
    <row r="41" spans="1:18" x14ac:dyDescent="0.35">
      <c r="A41" t="s">
        <v>18</v>
      </c>
      <c r="B41" t="s">
        <v>19</v>
      </c>
      <c r="C41" t="s">
        <v>20</v>
      </c>
      <c r="D41" t="s">
        <v>39</v>
      </c>
      <c r="E41" t="s">
        <v>45</v>
      </c>
      <c r="F41" t="s">
        <v>33</v>
      </c>
      <c r="G41" s="1">
        <v>45331</v>
      </c>
      <c r="H41">
        <v>216</v>
      </c>
      <c r="I41">
        <v>53</v>
      </c>
      <c r="J41">
        <v>71</v>
      </c>
      <c r="K41">
        <v>234</v>
      </c>
      <c r="L41">
        <v>70</v>
      </c>
      <c r="M41">
        <v>609</v>
      </c>
      <c r="N41">
        <v>10</v>
      </c>
      <c r="O41">
        <v>0</v>
      </c>
      <c r="P41" t="s">
        <v>24</v>
      </c>
      <c r="Q41">
        <v>14</v>
      </c>
      <c r="R41" s="2">
        <v>142506</v>
      </c>
    </row>
    <row r="42" spans="1:18" x14ac:dyDescent="0.35">
      <c r="A42" t="s">
        <v>34</v>
      </c>
      <c r="B42" t="s">
        <v>35</v>
      </c>
      <c r="C42" t="s">
        <v>20</v>
      </c>
      <c r="D42" t="s">
        <v>21</v>
      </c>
      <c r="E42" t="s">
        <v>27</v>
      </c>
      <c r="F42" t="s">
        <v>23</v>
      </c>
      <c r="G42" s="1">
        <v>45332</v>
      </c>
      <c r="H42">
        <v>131</v>
      </c>
      <c r="I42">
        <v>17</v>
      </c>
      <c r="J42">
        <v>37</v>
      </c>
      <c r="K42">
        <v>151</v>
      </c>
      <c r="L42">
        <v>60</v>
      </c>
      <c r="M42">
        <v>196</v>
      </c>
      <c r="N42">
        <v>6</v>
      </c>
      <c r="O42">
        <v>7</v>
      </c>
      <c r="P42" t="s">
        <v>24</v>
      </c>
      <c r="Q42">
        <v>50</v>
      </c>
      <c r="R42" s="2">
        <v>29596</v>
      </c>
    </row>
    <row r="43" spans="1:18" x14ac:dyDescent="0.35">
      <c r="A43" t="s">
        <v>18</v>
      </c>
      <c r="B43" t="s">
        <v>19</v>
      </c>
      <c r="C43" t="s">
        <v>20</v>
      </c>
      <c r="D43" t="s">
        <v>31</v>
      </c>
      <c r="E43" t="s">
        <v>47</v>
      </c>
      <c r="F43" t="s">
        <v>30</v>
      </c>
      <c r="G43" s="1">
        <v>45333</v>
      </c>
      <c r="H43">
        <v>267</v>
      </c>
      <c r="I43">
        <v>5</v>
      </c>
      <c r="J43">
        <v>35</v>
      </c>
      <c r="K43">
        <v>297</v>
      </c>
      <c r="L43">
        <v>81</v>
      </c>
      <c r="M43">
        <v>707</v>
      </c>
      <c r="N43">
        <v>11</v>
      </c>
      <c r="O43">
        <v>10</v>
      </c>
      <c r="P43" t="s">
        <v>24</v>
      </c>
      <c r="Q43">
        <v>31</v>
      </c>
      <c r="R43" s="2">
        <v>209979</v>
      </c>
    </row>
    <row r="44" spans="1:18" x14ac:dyDescent="0.35">
      <c r="A44" t="s">
        <v>18</v>
      </c>
      <c r="B44" t="s">
        <v>19</v>
      </c>
      <c r="C44" t="s">
        <v>20</v>
      </c>
      <c r="D44" t="s">
        <v>39</v>
      </c>
      <c r="E44" t="s">
        <v>45</v>
      </c>
      <c r="F44" t="s">
        <v>23</v>
      </c>
      <c r="G44" s="1">
        <v>45334</v>
      </c>
      <c r="H44">
        <v>99</v>
      </c>
      <c r="I44">
        <v>38</v>
      </c>
      <c r="J44">
        <v>78</v>
      </c>
      <c r="K44">
        <v>139</v>
      </c>
      <c r="L44">
        <v>51</v>
      </c>
      <c r="M44">
        <v>802</v>
      </c>
      <c r="N44">
        <v>6</v>
      </c>
      <c r="O44">
        <v>7</v>
      </c>
      <c r="P44" t="s">
        <v>24</v>
      </c>
      <c r="Q44">
        <v>60</v>
      </c>
      <c r="R44" s="2">
        <v>111478</v>
      </c>
    </row>
    <row r="45" spans="1:18" x14ac:dyDescent="0.35">
      <c r="A45" t="s">
        <v>18</v>
      </c>
      <c r="B45" t="s">
        <v>19</v>
      </c>
      <c r="C45" t="s">
        <v>20</v>
      </c>
      <c r="D45" t="s">
        <v>31</v>
      </c>
      <c r="E45" t="s">
        <v>32</v>
      </c>
      <c r="F45" t="s">
        <v>23</v>
      </c>
      <c r="G45" s="1">
        <v>45335</v>
      </c>
      <c r="H45">
        <v>89</v>
      </c>
      <c r="I45">
        <v>44</v>
      </c>
      <c r="J45">
        <v>74</v>
      </c>
      <c r="K45">
        <v>119</v>
      </c>
      <c r="L45">
        <v>72</v>
      </c>
      <c r="M45">
        <v>905</v>
      </c>
      <c r="N45">
        <v>5</v>
      </c>
      <c r="O45">
        <v>4</v>
      </c>
      <c r="P45" t="s">
        <v>24</v>
      </c>
      <c r="Q45">
        <v>51</v>
      </c>
      <c r="R45" s="2">
        <v>107695</v>
      </c>
    </row>
    <row r="46" spans="1:18" x14ac:dyDescent="0.35">
      <c r="A46" t="s">
        <v>18</v>
      </c>
      <c r="B46" t="s">
        <v>19</v>
      </c>
      <c r="C46" t="s">
        <v>20</v>
      </c>
      <c r="D46" t="s">
        <v>43</v>
      </c>
      <c r="E46" t="s">
        <v>44</v>
      </c>
      <c r="F46" t="s">
        <v>33</v>
      </c>
      <c r="G46" s="1">
        <v>45336</v>
      </c>
      <c r="H46">
        <v>270</v>
      </c>
      <c r="I46">
        <v>50</v>
      </c>
      <c r="J46">
        <v>32</v>
      </c>
      <c r="K46">
        <v>252</v>
      </c>
      <c r="L46">
        <v>79</v>
      </c>
      <c r="M46">
        <v>930</v>
      </c>
      <c r="N46">
        <v>6</v>
      </c>
      <c r="O46">
        <v>9</v>
      </c>
      <c r="P46" t="s">
        <v>24</v>
      </c>
      <c r="Q46">
        <v>68</v>
      </c>
      <c r="R46" s="2">
        <v>234360</v>
      </c>
    </row>
    <row r="47" spans="1:18" x14ac:dyDescent="0.35">
      <c r="A47" t="s">
        <v>25</v>
      </c>
      <c r="B47" t="s">
        <v>26</v>
      </c>
      <c r="C47" t="s">
        <v>20</v>
      </c>
      <c r="D47" t="s">
        <v>39</v>
      </c>
      <c r="E47" t="s">
        <v>45</v>
      </c>
      <c r="F47" t="s">
        <v>33</v>
      </c>
      <c r="G47" s="1">
        <v>45337</v>
      </c>
      <c r="H47">
        <v>121</v>
      </c>
      <c r="I47">
        <v>45</v>
      </c>
      <c r="J47">
        <v>34</v>
      </c>
      <c r="K47">
        <v>110</v>
      </c>
      <c r="L47">
        <v>87</v>
      </c>
      <c r="M47">
        <v>1231</v>
      </c>
      <c r="N47">
        <v>3</v>
      </c>
      <c r="O47">
        <v>3</v>
      </c>
      <c r="P47" t="s">
        <v>24</v>
      </c>
      <c r="Q47">
        <v>21</v>
      </c>
      <c r="R47" s="2">
        <v>135410</v>
      </c>
    </row>
    <row r="48" spans="1:18" x14ac:dyDescent="0.35">
      <c r="A48" t="s">
        <v>41</v>
      </c>
      <c r="B48" t="s">
        <v>42</v>
      </c>
      <c r="C48" t="s">
        <v>20</v>
      </c>
      <c r="D48" t="s">
        <v>37</v>
      </c>
      <c r="E48" t="s">
        <v>46</v>
      </c>
      <c r="F48" t="s">
        <v>33</v>
      </c>
      <c r="G48" s="1">
        <v>45338</v>
      </c>
      <c r="H48">
        <v>126</v>
      </c>
      <c r="I48">
        <v>12</v>
      </c>
      <c r="J48">
        <v>36</v>
      </c>
      <c r="K48">
        <v>150</v>
      </c>
      <c r="L48">
        <v>62</v>
      </c>
      <c r="M48">
        <v>1279</v>
      </c>
      <c r="N48">
        <v>9</v>
      </c>
      <c r="O48">
        <v>1</v>
      </c>
      <c r="P48" t="s">
        <v>24</v>
      </c>
      <c r="Q48">
        <v>18</v>
      </c>
      <c r="R48" s="2">
        <v>191850</v>
      </c>
    </row>
    <row r="49" spans="1:18" x14ac:dyDescent="0.35">
      <c r="A49" t="s">
        <v>25</v>
      </c>
      <c r="B49" t="s">
        <v>26</v>
      </c>
      <c r="C49" t="s">
        <v>20</v>
      </c>
      <c r="D49" t="s">
        <v>21</v>
      </c>
      <c r="E49" t="s">
        <v>22</v>
      </c>
      <c r="F49" t="s">
        <v>30</v>
      </c>
      <c r="G49" s="1">
        <v>45339</v>
      </c>
      <c r="H49">
        <v>143</v>
      </c>
      <c r="I49">
        <v>36</v>
      </c>
      <c r="J49">
        <v>32</v>
      </c>
      <c r="K49">
        <v>139</v>
      </c>
      <c r="L49">
        <v>78</v>
      </c>
      <c r="M49">
        <v>678</v>
      </c>
      <c r="N49">
        <v>5</v>
      </c>
      <c r="O49">
        <v>4</v>
      </c>
      <c r="P49" t="s">
        <v>24</v>
      </c>
      <c r="Q49">
        <v>16</v>
      </c>
      <c r="R49" s="2">
        <v>94242</v>
      </c>
    </row>
    <row r="50" spans="1:18" x14ac:dyDescent="0.35">
      <c r="A50" t="s">
        <v>41</v>
      </c>
      <c r="B50" t="s">
        <v>42</v>
      </c>
      <c r="C50" t="s">
        <v>20</v>
      </c>
      <c r="D50" t="s">
        <v>31</v>
      </c>
      <c r="E50" t="s">
        <v>47</v>
      </c>
      <c r="F50" t="s">
        <v>23</v>
      </c>
      <c r="G50" s="1">
        <v>45340</v>
      </c>
      <c r="H50">
        <v>197</v>
      </c>
      <c r="I50">
        <v>55</v>
      </c>
      <c r="J50">
        <v>27</v>
      </c>
      <c r="K50">
        <v>169</v>
      </c>
      <c r="L50">
        <v>86</v>
      </c>
      <c r="M50">
        <v>403</v>
      </c>
      <c r="N50">
        <v>10</v>
      </c>
      <c r="O50">
        <v>6</v>
      </c>
      <c r="P50" t="s">
        <v>24</v>
      </c>
      <c r="Q50">
        <v>20</v>
      </c>
      <c r="R50" s="2">
        <v>68107</v>
      </c>
    </row>
    <row r="51" spans="1:18" x14ac:dyDescent="0.35">
      <c r="A51" t="s">
        <v>28</v>
      </c>
      <c r="B51" t="s">
        <v>29</v>
      </c>
      <c r="C51" t="s">
        <v>20</v>
      </c>
      <c r="D51" t="s">
        <v>21</v>
      </c>
      <c r="E51" t="s">
        <v>22</v>
      </c>
      <c r="F51" t="s">
        <v>30</v>
      </c>
      <c r="G51" s="1">
        <v>45341</v>
      </c>
      <c r="H51">
        <v>142</v>
      </c>
      <c r="I51">
        <v>9</v>
      </c>
      <c r="J51">
        <v>47</v>
      </c>
      <c r="K51">
        <v>180</v>
      </c>
      <c r="L51">
        <v>49</v>
      </c>
      <c r="M51">
        <v>1296</v>
      </c>
      <c r="N51">
        <v>12</v>
      </c>
      <c r="O51">
        <v>2</v>
      </c>
      <c r="P51" t="s">
        <v>24</v>
      </c>
      <c r="Q51">
        <v>67</v>
      </c>
      <c r="R51" s="2">
        <v>233280</v>
      </c>
    </row>
    <row r="52" spans="1:18" x14ac:dyDescent="0.35">
      <c r="A52" t="s">
        <v>25</v>
      </c>
      <c r="B52" t="s">
        <v>26</v>
      </c>
      <c r="C52" t="s">
        <v>20</v>
      </c>
      <c r="D52" t="s">
        <v>31</v>
      </c>
      <c r="E52" t="s">
        <v>32</v>
      </c>
      <c r="F52" t="s">
        <v>30</v>
      </c>
      <c r="G52" s="1">
        <v>45342</v>
      </c>
      <c r="H52">
        <v>252</v>
      </c>
      <c r="I52">
        <v>42</v>
      </c>
      <c r="J52">
        <v>48</v>
      </c>
      <c r="K52">
        <v>258</v>
      </c>
      <c r="L52">
        <v>59</v>
      </c>
      <c r="M52">
        <v>489</v>
      </c>
      <c r="N52">
        <v>14</v>
      </c>
      <c r="O52">
        <v>10</v>
      </c>
      <c r="P52" t="s">
        <v>24</v>
      </c>
      <c r="Q52">
        <v>39</v>
      </c>
      <c r="R52" s="2">
        <v>126162</v>
      </c>
    </row>
    <row r="53" spans="1:18" x14ac:dyDescent="0.35">
      <c r="A53" t="s">
        <v>41</v>
      </c>
      <c r="B53" t="s">
        <v>42</v>
      </c>
      <c r="C53" t="s">
        <v>20</v>
      </c>
      <c r="D53" t="s">
        <v>37</v>
      </c>
      <c r="E53" t="s">
        <v>46</v>
      </c>
      <c r="F53" t="s">
        <v>23</v>
      </c>
      <c r="G53" s="1">
        <v>45343</v>
      </c>
      <c r="H53">
        <v>129</v>
      </c>
      <c r="I53">
        <v>11</v>
      </c>
      <c r="J53">
        <v>54</v>
      </c>
      <c r="K53">
        <v>172</v>
      </c>
      <c r="L53">
        <v>64</v>
      </c>
      <c r="M53">
        <v>154</v>
      </c>
      <c r="N53">
        <v>13</v>
      </c>
      <c r="O53">
        <v>4</v>
      </c>
      <c r="P53" t="s">
        <v>24</v>
      </c>
      <c r="Q53">
        <v>68</v>
      </c>
      <c r="R53" s="2">
        <v>26488</v>
      </c>
    </row>
    <row r="54" spans="1:18" x14ac:dyDescent="0.35">
      <c r="A54" t="s">
        <v>18</v>
      </c>
      <c r="B54" t="s">
        <v>19</v>
      </c>
      <c r="C54" t="s">
        <v>20</v>
      </c>
      <c r="D54" t="s">
        <v>31</v>
      </c>
      <c r="E54" t="s">
        <v>32</v>
      </c>
      <c r="F54" t="s">
        <v>33</v>
      </c>
      <c r="G54" s="1">
        <v>45344</v>
      </c>
      <c r="H54">
        <v>232</v>
      </c>
      <c r="I54">
        <v>43</v>
      </c>
      <c r="J54">
        <v>45</v>
      </c>
      <c r="K54">
        <v>234</v>
      </c>
      <c r="L54">
        <v>46</v>
      </c>
      <c r="M54">
        <v>462</v>
      </c>
      <c r="N54">
        <v>14</v>
      </c>
      <c r="O54">
        <v>10</v>
      </c>
      <c r="P54" t="s">
        <v>24</v>
      </c>
      <c r="Q54">
        <v>63</v>
      </c>
      <c r="R54" s="2">
        <v>108108</v>
      </c>
    </row>
    <row r="55" spans="1:18" x14ac:dyDescent="0.35">
      <c r="A55" t="s">
        <v>41</v>
      </c>
      <c r="B55" t="s">
        <v>42</v>
      </c>
      <c r="C55" t="s">
        <v>20</v>
      </c>
      <c r="D55" t="s">
        <v>39</v>
      </c>
      <c r="E55" t="s">
        <v>40</v>
      </c>
      <c r="F55" t="s">
        <v>33</v>
      </c>
      <c r="G55" s="1">
        <v>45345</v>
      </c>
      <c r="H55">
        <v>285</v>
      </c>
      <c r="I55">
        <v>25</v>
      </c>
      <c r="J55">
        <v>45</v>
      </c>
      <c r="K55">
        <v>305</v>
      </c>
      <c r="L55">
        <v>82</v>
      </c>
      <c r="M55">
        <v>786</v>
      </c>
      <c r="N55">
        <v>11</v>
      </c>
      <c r="O55">
        <v>7</v>
      </c>
      <c r="P55" t="s">
        <v>24</v>
      </c>
      <c r="Q55">
        <v>36</v>
      </c>
      <c r="R55" s="2">
        <v>239730</v>
      </c>
    </row>
    <row r="56" spans="1:18" x14ac:dyDescent="0.35">
      <c r="A56" t="s">
        <v>28</v>
      </c>
      <c r="B56" t="s">
        <v>29</v>
      </c>
      <c r="C56" t="s">
        <v>20</v>
      </c>
      <c r="D56" t="s">
        <v>37</v>
      </c>
      <c r="E56" t="s">
        <v>38</v>
      </c>
      <c r="F56" t="s">
        <v>33</v>
      </c>
      <c r="G56" s="1">
        <v>45346</v>
      </c>
      <c r="H56">
        <v>149</v>
      </c>
      <c r="I56">
        <v>27</v>
      </c>
      <c r="J56">
        <v>23</v>
      </c>
      <c r="K56">
        <v>145</v>
      </c>
      <c r="L56">
        <v>50</v>
      </c>
      <c r="M56">
        <v>1180</v>
      </c>
      <c r="N56">
        <v>12</v>
      </c>
      <c r="O56">
        <v>3</v>
      </c>
      <c r="P56" t="s">
        <v>24</v>
      </c>
      <c r="Q56">
        <v>11</v>
      </c>
      <c r="R56" s="2">
        <v>171100</v>
      </c>
    </row>
    <row r="57" spans="1:18" x14ac:dyDescent="0.35">
      <c r="A57" t="s">
        <v>34</v>
      </c>
      <c r="B57" t="s">
        <v>35</v>
      </c>
      <c r="C57" t="s">
        <v>20</v>
      </c>
      <c r="D57" t="s">
        <v>37</v>
      </c>
      <c r="E57" t="s">
        <v>38</v>
      </c>
      <c r="F57" t="s">
        <v>33</v>
      </c>
      <c r="G57" s="1">
        <v>45347</v>
      </c>
      <c r="H57">
        <v>153</v>
      </c>
      <c r="I57">
        <v>41</v>
      </c>
      <c r="J57">
        <v>44</v>
      </c>
      <c r="K57">
        <v>156</v>
      </c>
      <c r="L57">
        <v>51</v>
      </c>
      <c r="M57">
        <v>595</v>
      </c>
      <c r="N57">
        <v>2</v>
      </c>
      <c r="O57">
        <v>10</v>
      </c>
      <c r="P57" t="s">
        <v>24</v>
      </c>
      <c r="Q57">
        <v>24</v>
      </c>
      <c r="R57" s="2">
        <v>92820</v>
      </c>
    </row>
    <row r="58" spans="1:18" x14ac:dyDescent="0.35">
      <c r="A58" t="s">
        <v>34</v>
      </c>
      <c r="B58" t="s">
        <v>35</v>
      </c>
      <c r="C58" t="s">
        <v>20</v>
      </c>
      <c r="D58" t="s">
        <v>43</v>
      </c>
      <c r="E58" t="s">
        <v>44</v>
      </c>
      <c r="F58" t="s">
        <v>23</v>
      </c>
      <c r="G58" s="1">
        <v>45348</v>
      </c>
      <c r="H58">
        <v>115</v>
      </c>
      <c r="I58">
        <v>23</v>
      </c>
      <c r="J58">
        <v>30</v>
      </c>
      <c r="K58">
        <v>122</v>
      </c>
      <c r="L58">
        <v>61</v>
      </c>
      <c r="M58">
        <v>710</v>
      </c>
      <c r="N58">
        <v>8</v>
      </c>
      <c r="O58">
        <v>7</v>
      </c>
      <c r="P58" t="s">
        <v>24</v>
      </c>
      <c r="Q58">
        <v>10</v>
      </c>
      <c r="R58" s="2">
        <v>86620</v>
      </c>
    </row>
    <row r="59" spans="1:18" x14ac:dyDescent="0.35">
      <c r="A59" t="s">
        <v>34</v>
      </c>
      <c r="B59" t="s">
        <v>35</v>
      </c>
      <c r="C59" t="s">
        <v>20</v>
      </c>
      <c r="D59" t="s">
        <v>37</v>
      </c>
      <c r="E59" t="s">
        <v>38</v>
      </c>
      <c r="F59" t="s">
        <v>33</v>
      </c>
      <c r="G59" s="1">
        <v>45349</v>
      </c>
      <c r="H59">
        <v>252</v>
      </c>
      <c r="I59">
        <v>43</v>
      </c>
      <c r="J59">
        <v>49</v>
      </c>
      <c r="K59">
        <v>258</v>
      </c>
      <c r="L59">
        <v>47</v>
      </c>
      <c r="M59">
        <v>231</v>
      </c>
      <c r="N59">
        <v>5</v>
      </c>
      <c r="O59">
        <v>10</v>
      </c>
      <c r="P59" t="s">
        <v>24</v>
      </c>
      <c r="Q59">
        <v>53</v>
      </c>
      <c r="R59" s="2">
        <v>59598</v>
      </c>
    </row>
    <row r="60" spans="1:18" x14ac:dyDescent="0.35">
      <c r="A60" t="s">
        <v>41</v>
      </c>
      <c r="B60" t="s">
        <v>42</v>
      </c>
      <c r="C60" t="s">
        <v>20</v>
      </c>
      <c r="D60" t="s">
        <v>43</v>
      </c>
      <c r="E60" t="s">
        <v>44</v>
      </c>
      <c r="F60" t="s">
        <v>33</v>
      </c>
      <c r="G60" s="1">
        <v>45350</v>
      </c>
      <c r="H60">
        <v>105</v>
      </c>
      <c r="I60">
        <v>16</v>
      </c>
      <c r="J60">
        <v>13</v>
      </c>
      <c r="K60">
        <v>102</v>
      </c>
      <c r="L60">
        <v>49</v>
      </c>
      <c r="M60">
        <v>617</v>
      </c>
      <c r="N60">
        <v>14</v>
      </c>
      <c r="O60">
        <v>3</v>
      </c>
      <c r="P60" t="s">
        <v>24</v>
      </c>
      <c r="Q60">
        <v>65</v>
      </c>
      <c r="R60" s="2">
        <v>62934</v>
      </c>
    </row>
    <row r="61" spans="1:18" x14ac:dyDescent="0.35">
      <c r="A61" t="s">
        <v>28</v>
      </c>
      <c r="B61" t="s">
        <v>29</v>
      </c>
      <c r="C61" t="s">
        <v>20</v>
      </c>
      <c r="D61" t="s">
        <v>21</v>
      </c>
      <c r="E61" t="s">
        <v>22</v>
      </c>
      <c r="F61" t="s">
        <v>23</v>
      </c>
      <c r="G61" s="1">
        <v>45351</v>
      </c>
      <c r="H61">
        <v>119</v>
      </c>
      <c r="I61">
        <v>44</v>
      </c>
      <c r="J61">
        <v>21</v>
      </c>
      <c r="K61">
        <v>96</v>
      </c>
      <c r="L61">
        <v>69</v>
      </c>
      <c r="M61">
        <v>565</v>
      </c>
      <c r="N61">
        <v>8</v>
      </c>
      <c r="O61">
        <v>0</v>
      </c>
      <c r="P61" t="s">
        <v>24</v>
      </c>
      <c r="Q61">
        <v>22</v>
      </c>
      <c r="R61" s="2">
        <v>54240</v>
      </c>
    </row>
    <row r="62" spans="1:18" x14ac:dyDescent="0.35">
      <c r="A62" t="s">
        <v>28</v>
      </c>
      <c r="B62" t="s">
        <v>29</v>
      </c>
      <c r="C62" t="s">
        <v>20</v>
      </c>
      <c r="D62" t="s">
        <v>21</v>
      </c>
      <c r="E62" t="s">
        <v>22</v>
      </c>
      <c r="F62" t="s">
        <v>23</v>
      </c>
      <c r="G62" s="1">
        <v>45352</v>
      </c>
      <c r="H62">
        <v>141</v>
      </c>
      <c r="I62">
        <v>50</v>
      </c>
      <c r="J62">
        <v>34</v>
      </c>
      <c r="K62">
        <v>125</v>
      </c>
      <c r="L62">
        <v>64</v>
      </c>
      <c r="M62">
        <v>1348</v>
      </c>
      <c r="N62">
        <v>3</v>
      </c>
      <c r="O62">
        <v>7</v>
      </c>
      <c r="P62" t="s">
        <v>24</v>
      </c>
      <c r="Q62">
        <v>65</v>
      </c>
      <c r="R62" s="2">
        <v>168500</v>
      </c>
    </row>
    <row r="63" spans="1:18" x14ac:dyDescent="0.35">
      <c r="A63" t="s">
        <v>18</v>
      </c>
      <c r="B63" t="s">
        <v>19</v>
      </c>
      <c r="C63" t="s">
        <v>20</v>
      </c>
      <c r="D63" t="s">
        <v>21</v>
      </c>
      <c r="E63" t="s">
        <v>27</v>
      </c>
      <c r="F63" t="s">
        <v>33</v>
      </c>
      <c r="G63" s="1">
        <v>45353</v>
      </c>
      <c r="H63">
        <v>121</v>
      </c>
      <c r="I63">
        <v>41</v>
      </c>
      <c r="J63">
        <v>74</v>
      </c>
      <c r="K63">
        <v>154</v>
      </c>
      <c r="L63">
        <v>95</v>
      </c>
      <c r="M63">
        <v>83</v>
      </c>
      <c r="N63">
        <v>8</v>
      </c>
      <c r="O63">
        <v>9</v>
      </c>
      <c r="P63" t="s">
        <v>24</v>
      </c>
      <c r="Q63">
        <v>19</v>
      </c>
      <c r="R63" s="2">
        <v>12782</v>
      </c>
    </row>
    <row r="64" spans="1:18" x14ac:dyDescent="0.35">
      <c r="A64" t="s">
        <v>25</v>
      </c>
      <c r="B64" t="s">
        <v>26</v>
      </c>
      <c r="C64" t="s">
        <v>20</v>
      </c>
      <c r="D64" t="s">
        <v>43</v>
      </c>
      <c r="E64" t="s">
        <v>44</v>
      </c>
      <c r="F64" t="s">
        <v>23</v>
      </c>
      <c r="G64" s="1">
        <v>45354</v>
      </c>
      <c r="H64">
        <v>261</v>
      </c>
      <c r="I64">
        <v>46</v>
      </c>
      <c r="J64">
        <v>74</v>
      </c>
      <c r="K64">
        <v>289</v>
      </c>
      <c r="L64">
        <v>61</v>
      </c>
      <c r="M64">
        <v>1137</v>
      </c>
      <c r="N64">
        <v>9</v>
      </c>
      <c r="O64">
        <v>2</v>
      </c>
      <c r="P64" t="s">
        <v>24</v>
      </c>
      <c r="Q64">
        <v>56</v>
      </c>
      <c r="R64" s="2">
        <v>328593</v>
      </c>
    </row>
    <row r="65" spans="1:18" x14ac:dyDescent="0.35">
      <c r="A65" t="s">
        <v>34</v>
      </c>
      <c r="B65" t="s">
        <v>35</v>
      </c>
      <c r="C65" t="s">
        <v>20</v>
      </c>
      <c r="D65" t="s">
        <v>37</v>
      </c>
      <c r="E65" t="s">
        <v>46</v>
      </c>
      <c r="F65" t="s">
        <v>30</v>
      </c>
      <c r="G65" s="1">
        <v>45355</v>
      </c>
      <c r="H65">
        <v>271</v>
      </c>
      <c r="I65">
        <v>33</v>
      </c>
      <c r="J65">
        <v>5</v>
      </c>
      <c r="K65">
        <v>243</v>
      </c>
      <c r="L65">
        <v>69</v>
      </c>
      <c r="M65">
        <v>293</v>
      </c>
      <c r="N65">
        <v>8</v>
      </c>
      <c r="O65">
        <v>2</v>
      </c>
      <c r="P65" t="s">
        <v>24</v>
      </c>
      <c r="Q65">
        <v>51</v>
      </c>
      <c r="R65" s="2">
        <v>71199</v>
      </c>
    </row>
    <row r="66" spans="1:18" x14ac:dyDescent="0.35">
      <c r="A66" t="s">
        <v>18</v>
      </c>
      <c r="B66" t="s">
        <v>19</v>
      </c>
      <c r="C66" t="s">
        <v>20</v>
      </c>
      <c r="D66" t="s">
        <v>21</v>
      </c>
      <c r="E66" t="s">
        <v>27</v>
      </c>
      <c r="F66" t="s">
        <v>30</v>
      </c>
      <c r="G66" s="1">
        <v>45356</v>
      </c>
      <c r="H66">
        <v>126</v>
      </c>
      <c r="I66">
        <v>53</v>
      </c>
      <c r="J66">
        <v>27</v>
      </c>
      <c r="K66">
        <v>100</v>
      </c>
      <c r="L66">
        <v>81</v>
      </c>
      <c r="M66">
        <v>817</v>
      </c>
      <c r="N66">
        <v>4</v>
      </c>
      <c r="O66">
        <v>3</v>
      </c>
      <c r="P66" t="s">
        <v>24</v>
      </c>
      <c r="Q66">
        <v>60</v>
      </c>
      <c r="R66" s="2">
        <v>81700</v>
      </c>
    </row>
    <row r="67" spans="1:18" x14ac:dyDescent="0.35">
      <c r="A67" t="s">
        <v>34</v>
      </c>
      <c r="B67" t="s">
        <v>35</v>
      </c>
      <c r="C67" t="s">
        <v>20</v>
      </c>
      <c r="D67" t="s">
        <v>21</v>
      </c>
      <c r="E67" t="s">
        <v>22</v>
      </c>
      <c r="F67" t="s">
        <v>30</v>
      </c>
      <c r="G67" s="1">
        <v>45357</v>
      </c>
      <c r="H67">
        <v>188</v>
      </c>
      <c r="I67">
        <v>20</v>
      </c>
      <c r="J67">
        <v>48</v>
      </c>
      <c r="K67">
        <v>216</v>
      </c>
      <c r="L67">
        <v>46</v>
      </c>
      <c r="M67">
        <v>875</v>
      </c>
      <c r="N67">
        <v>12</v>
      </c>
      <c r="O67">
        <v>9</v>
      </c>
      <c r="P67" t="s">
        <v>24</v>
      </c>
      <c r="Q67">
        <v>56</v>
      </c>
      <c r="R67" s="2">
        <v>189000</v>
      </c>
    </row>
    <row r="68" spans="1:18" x14ac:dyDescent="0.35">
      <c r="A68" t="s">
        <v>34</v>
      </c>
      <c r="B68" t="s">
        <v>35</v>
      </c>
      <c r="C68" t="s">
        <v>20</v>
      </c>
      <c r="D68" t="s">
        <v>37</v>
      </c>
      <c r="E68" t="s">
        <v>46</v>
      </c>
      <c r="F68" t="s">
        <v>30</v>
      </c>
      <c r="G68" s="1">
        <v>45358</v>
      </c>
      <c r="H68">
        <v>231</v>
      </c>
      <c r="I68">
        <v>59</v>
      </c>
      <c r="J68">
        <v>38</v>
      </c>
      <c r="K68">
        <v>210</v>
      </c>
      <c r="L68">
        <v>82</v>
      </c>
      <c r="M68">
        <v>167</v>
      </c>
      <c r="N68">
        <v>10</v>
      </c>
      <c r="O68">
        <v>9</v>
      </c>
      <c r="P68" t="s">
        <v>24</v>
      </c>
      <c r="Q68">
        <v>44</v>
      </c>
      <c r="R68" s="2">
        <v>35070</v>
      </c>
    </row>
    <row r="69" spans="1:18" x14ac:dyDescent="0.35">
      <c r="A69" t="s">
        <v>28</v>
      </c>
      <c r="B69" t="s">
        <v>29</v>
      </c>
      <c r="C69" t="s">
        <v>20</v>
      </c>
      <c r="D69" t="s">
        <v>21</v>
      </c>
      <c r="E69" t="s">
        <v>22</v>
      </c>
      <c r="F69" t="s">
        <v>30</v>
      </c>
      <c r="G69" s="1">
        <v>45359</v>
      </c>
      <c r="H69">
        <v>120</v>
      </c>
      <c r="I69">
        <v>8</v>
      </c>
      <c r="J69">
        <v>37</v>
      </c>
      <c r="K69">
        <v>149</v>
      </c>
      <c r="L69">
        <v>90</v>
      </c>
      <c r="M69">
        <v>1469</v>
      </c>
      <c r="N69">
        <v>13</v>
      </c>
      <c r="O69">
        <v>0</v>
      </c>
      <c r="P69" t="s">
        <v>24</v>
      </c>
      <c r="Q69">
        <v>41</v>
      </c>
      <c r="R69" s="2">
        <v>218881</v>
      </c>
    </row>
    <row r="70" spans="1:18" x14ac:dyDescent="0.35">
      <c r="A70" t="s">
        <v>34</v>
      </c>
      <c r="B70" t="s">
        <v>35</v>
      </c>
      <c r="C70" t="s">
        <v>20</v>
      </c>
      <c r="D70" t="s">
        <v>21</v>
      </c>
      <c r="E70" t="s">
        <v>27</v>
      </c>
      <c r="F70" t="s">
        <v>23</v>
      </c>
      <c r="G70" s="1">
        <v>45360</v>
      </c>
      <c r="H70">
        <v>269</v>
      </c>
      <c r="I70">
        <v>51</v>
      </c>
      <c r="J70">
        <v>69</v>
      </c>
      <c r="K70">
        <v>287</v>
      </c>
      <c r="L70">
        <v>53</v>
      </c>
      <c r="M70">
        <v>406</v>
      </c>
      <c r="N70">
        <v>11</v>
      </c>
      <c r="O70">
        <v>10</v>
      </c>
      <c r="P70" t="s">
        <v>24</v>
      </c>
      <c r="Q70">
        <v>29</v>
      </c>
      <c r="R70" s="2">
        <v>116522</v>
      </c>
    </row>
    <row r="71" spans="1:18" x14ac:dyDescent="0.35">
      <c r="A71" t="s">
        <v>34</v>
      </c>
      <c r="B71" t="s">
        <v>35</v>
      </c>
      <c r="C71" t="s">
        <v>20</v>
      </c>
      <c r="D71" t="s">
        <v>43</v>
      </c>
      <c r="E71" t="s">
        <v>44</v>
      </c>
      <c r="F71" t="s">
        <v>30</v>
      </c>
      <c r="G71" s="1">
        <v>45361</v>
      </c>
      <c r="H71">
        <v>251</v>
      </c>
      <c r="I71">
        <v>21</v>
      </c>
      <c r="J71">
        <v>50</v>
      </c>
      <c r="K71">
        <v>280</v>
      </c>
      <c r="L71">
        <v>44</v>
      </c>
      <c r="M71">
        <v>1191</v>
      </c>
      <c r="N71">
        <v>5</v>
      </c>
      <c r="O71">
        <v>4</v>
      </c>
      <c r="P71" t="s">
        <v>24</v>
      </c>
      <c r="Q71">
        <v>28</v>
      </c>
      <c r="R71" s="2">
        <v>333480</v>
      </c>
    </row>
    <row r="72" spans="1:18" x14ac:dyDescent="0.35">
      <c r="A72" t="s">
        <v>18</v>
      </c>
      <c r="B72" t="s">
        <v>19</v>
      </c>
      <c r="C72" t="s">
        <v>20</v>
      </c>
      <c r="D72" t="s">
        <v>43</v>
      </c>
      <c r="E72" t="s">
        <v>44</v>
      </c>
      <c r="F72" t="s">
        <v>23</v>
      </c>
      <c r="G72" s="1">
        <v>45362</v>
      </c>
      <c r="H72">
        <v>156</v>
      </c>
      <c r="I72">
        <v>21</v>
      </c>
      <c r="J72">
        <v>55</v>
      </c>
      <c r="K72">
        <v>190</v>
      </c>
      <c r="L72">
        <v>77</v>
      </c>
      <c r="M72">
        <v>999</v>
      </c>
      <c r="N72">
        <v>10</v>
      </c>
      <c r="O72">
        <v>1</v>
      </c>
      <c r="P72" t="s">
        <v>24</v>
      </c>
      <c r="Q72">
        <v>61</v>
      </c>
      <c r="R72" s="2">
        <v>189810</v>
      </c>
    </row>
    <row r="73" spans="1:18" x14ac:dyDescent="0.35">
      <c r="A73" t="s">
        <v>18</v>
      </c>
      <c r="B73" t="s">
        <v>19</v>
      </c>
      <c r="C73" t="s">
        <v>20</v>
      </c>
      <c r="D73" t="s">
        <v>21</v>
      </c>
      <c r="E73" t="s">
        <v>27</v>
      </c>
      <c r="F73" t="s">
        <v>23</v>
      </c>
      <c r="G73" s="1">
        <v>45363</v>
      </c>
      <c r="H73">
        <v>85</v>
      </c>
      <c r="I73">
        <v>5</v>
      </c>
      <c r="J73">
        <v>1</v>
      </c>
      <c r="K73">
        <v>81</v>
      </c>
      <c r="L73">
        <v>54</v>
      </c>
      <c r="M73">
        <v>548</v>
      </c>
      <c r="N73">
        <v>12</v>
      </c>
      <c r="O73">
        <v>2</v>
      </c>
      <c r="P73" t="s">
        <v>24</v>
      </c>
      <c r="Q73">
        <v>29</v>
      </c>
      <c r="R73" s="2">
        <v>44388</v>
      </c>
    </row>
    <row r="74" spans="1:18" x14ac:dyDescent="0.35">
      <c r="A74" t="s">
        <v>41</v>
      </c>
      <c r="B74" t="s">
        <v>42</v>
      </c>
      <c r="C74" t="s">
        <v>20</v>
      </c>
      <c r="D74" t="s">
        <v>21</v>
      </c>
      <c r="E74" t="s">
        <v>27</v>
      </c>
      <c r="F74" t="s">
        <v>30</v>
      </c>
      <c r="G74" s="1">
        <v>45364</v>
      </c>
      <c r="H74">
        <v>197</v>
      </c>
      <c r="I74">
        <v>7</v>
      </c>
      <c r="J74">
        <v>20</v>
      </c>
      <c r="K74">
        <v>210</v>
      </c>
      <c r="L74">
        <v>54</v>
      </c>
      <c r="M74">
        <v>179</v>
      </c>
      <c r="N74">
        <v>14</v>
      </c>
      <c r="O74">
        <v>1</v>
      </c>
      <c r="P74" t="s">
        <v>24</v>
      </c>
      <c r="Q74">
        <v>65</v>
      </c>
      <c r="R74" s="2">
        <v>37590</v>
      </c>
    </row>
    <row r="75" spans="1:18" x14ac:dyDescent="0.35">
      <c r="A75" t="s">
        <v>41</v>
      </c>
      <c r="B75" t="s">
        <v>42</v>
      </c>
      <c r="C75" t="s">
        <v>20</v>
      </c>
      <c r="D75" t="s">
        <v>21</v>
      </c>
      <c r="E75" t="s">
        <v>22</v>
      </c>
      <c r="F75" t="s">
        <v>30</v>
      </c>
      <c r="G75" s="1">
        <v>45365</v>
      </c>
      <c r="H75">
        <v>203</v>
      </c>
      <c r="I75">
        <v>46</v>
      </c>
      <c r="J75">
        <v>44</v>
      </c>
      <c r="K75">
        <v>201</v>
      </c>
      <c r="L75">
        <v>46</v>
      </c>
      <c r="M75">
        <v>643</v>
      </c>
      <c r="N75">
        <v>13</v>
      </c>
      <c r="O75">
        <v>0</v>
      </c>
      <c r="P75" t="s">
        <v>24</v>
      </c>
      <c r="Q75">
        <v>65</v>
      </c>
      <c r="R75" s="2">
        <v>129243</v>
      </c>
    </row>
    <row r="76" spans="1:18" x14ac:dyDescent="0.35">
      <c r="A76" t="s">
        <v>41</v>
      </c>
      <c r="B76" t="s">
        <v>42</v>
      </c>
      <c r="C76" t="s">
        <v>20</v>
      </c>
      <c r="D76" t="s">
        <v>37</v>
      </c>
      <c r="E76" t="s">
        <v>46</v>
      </c>
      <c r="F76" t="s">
        <v>23</v>
      </c>
      <c r="G76" s="1">
        <v>45366</v>
      </c>
      <c r="H76">
        <v>184</v>
      </c>
      <c r="I76">
        <v>27</v>
      </c>
      <c r="J76">
        <v>30</v>
      </c>
      <c r="K76">
        <v>187</v>
      </c>
      <c r="L76">
        <v>45</v>
      </c>
      <c r="M76">
        <v>1398</v>
      </c>
      <c r="N76">
        <v>3</v>
      </c>
      <c r="O76">
        <v>10</v>
      </c>
      <c r="P76" t="s">
        <v>24</v>
      </c>
      <c r="Q76">
        <v>21</v>
      </c>
      <c r="R76" s="2">
        <v>261426</v>
      </c>
    </row>
    <row r="77" spans="1:18" x14ac:dyDescent="0.35">
      <c r="A77" t="s">
        <v>28</v>
      </c>
      <c r="B77" t="s">
        <v>29</v>
      </c>
      <c r="C77" t="s">
        <v>20</v>
      </c>
      <c r="D77" t="s">
        <v>31</v>
      </c>
      <c r="E77" t="s">
        <v>47</v>
      </c>
      <c r="F77" t="s">
        <v>23</v>
      </c>
      <c r="G77" s="1">
        <v>45367</v>
      </c>
      <c r="H77">
        <v>223</v>
      </c>
      <c r="I77">
        <v>29</v>
      </c>
      <c r="J77">
        <v>55</v>
      </c>
      <c r="K77">
        <v>249</v>
      </c>
      <c r="L77">
        <v>86</v>
      </c>
      <c r="M77">
        <v>881</v>
      </c>
      <c r="N77">
        <v>13</v>
      </c>
      <c r="O77">
        <v>2</v>
      </c>
      <c r="P77" t="s">
        <v>24</v>
      </c>
      <c r="Q77">
        <v>30</v>
      </c>
      <c r="R77" s="2">
        <v>219369</v>
      </c>
    </row>
    <row r="78" spans="1:18" x14ac:dyDescent="0.35">
      <c r="A78" t="s">
        <v>18</v>
      </c>
      <c r="B78" t="s">
        <v>19</v>
      </c>
      <c r="C78" t="s">
        <v>20</v>
      </c>
      <c r="D78" t="s">
        <v>31</v>
      </c>
      <c r="E78" t="s">
        <v>32</v>
      </c>
      <c r="F78" t="s">
        <v>33</v>
      </c>
      <c r="G78" s="1">
        <v>45368</v>
      </c>
      <c r="H78">
        <v>76</v>
      </c>
      <c r="I78">
        <v>53</v>
      </c>
      <c r="J78">
        <v>35</v>
      </c>
      <c r="K78">
        <v>58</v>
      </c>
      <c r="L78">
        <v>90</v>
      </c>
      <c r="M78">
        <v>1427</v>
      </c>
      <c r="N78">
        <v>7</v>
      </c>
      <c r="O78">
        <v>3</v>
      </c>
      <c r="P78" t="s">
        <v>36</v>
      </c>
      <c r="Q78">
        <v>44</v>
      </c>
      <c r="R78" s="2">
        <v>82766</v>
      </c>
    </row>
    <row r="79" spans="1:18" x14ac:dyDescent="0.35">
      <c r="A79" t="s">
        <v>41</v>
      </c>
      <c r="B79" t="s">
        <v>42</v>
      </c>
      <c r="C79" t="s">
        <v>20</v>
      </c>
      <c r="D79" t="s">
        <v>21</v>
      </c>
      <c r="E79" t="s">
        <v>22</v>
      </c>
      <c r="F79" t="s">
        <v>23</v>
      </c>
      <c r="G79" s="1">
        <v>45369</v>
      </c>
      <c r="H79">
        <v>196</v>
      </c>
      <c r="I79">
        <v>13</v>
      </c>
      <c r="J79">
        <v>77</v>
      </c>
      <c r="K79">
        <v>260</v>
      </c>
      <c r="L79">
        <v>82</v>
      </c>
      <c r="M79">
        <v>342</v>
      </c>
      <c r="N79">
        <v>7</v>
      </c>
      <c r="O79">
        <v>2</v>
      </c>
      <c r="P79" t="s">
        <v>24</v>
      </c>
      <c r="Q79">
        <v>40</v>
      </c>
      <c r="R79" s="2">
        <v>88920</v>
      </c>
    </row>
    <row r="80" spans="1:18" x14ac:dyDescent="0.35">
      <c r="A80" t="s">
        <v>41</v>
      </c>
      <c r="B80" t="s">
        <v>42</v>
      </c>
      <c r="C80" t="s">
        <v>20</v>
      </c>
      <c r="D80" t="s">
        <v>43</v>
      </c>
      <c r="E80" t="s">
        <v>44</v>
      </c>
      <c r="F80" t="s">
        <v>23</v>
      </c>
      <c r="G80" s="1">
        <v>45370</v>
      </c>
      <c r="H80">
        <v>200</v>
      </c>
      <c r="I80">
        <v>28</v>
      </c>
      <c r="J80">
        <v>35</v>
      </c>
      <c r="K80">
        <v>207</v>
      </c>
      <c r="L80">
        <v>52</v>
      </c>
      <c r="M80">
        <v>120</v>
      </c>
      <c r="N80">
        <v>8</v>
      </c>
      <c r="O80">
        <v>4</v>
      </c>
      <c r="P80" t="s">
        <v>24</v>
      </c>
      <c r="Q80">
        <v>11</v>
      </c>
      <c r="R80" s="2">
        <v>24840</v>
      </c>
    </row>
    <row r="81" spans="1:18" x14ac:dyDescent="0.35">
      <c r="A81" t="s">
        <v>41</v>
      </c>
      <c r="B81" t="s">
        <v>42</v>
      </c>
      <c r="C81" t="s">
        <v>20</v>
      </c>
      <c r="D81" t="s">
        <v>37</v>
      </c>
      <c r="E81" t="s">
        <v>46</v>
      </c>
      <c r="F81" t="s">
        <v>33</v>
      </c>
      <c r="G81" s="1">
        <v>45371</v>
      </c>
      <c r="H81">
        <v>280</v>
      </c>
      <c r="I81">
        <v>9</v>
      </c>
      <c r="J81">
        <v>44</v>
      </c>
      <c r="K81">
        <v>315</v>
      </c>
      <c r="L81">
        <v>95</v>
      </c>
      <c r="M81">
        <v>770</v>
      </c>
      <c r="N81">
        <v>9</v>
      </c>
      <c r="O81">
        <v>8</v>
      </c>
      <c r="P81" t="s">
        <v>24</v>
      </c>
      <c r="Q81">
        <v>66</v>
      </c>
      <c r="R81" s="2">
        <v>242550</v>
      </c>
    </row>
    <row r="82" spans="1:18" x14ac:dyDescent="0.35">
      <c r="A82" t="s">
        <v>18</v>
      </c>
      <c r="B82" t="s">
        <v>19</v>
      </c>
      <c r="C82" t="s">
        <v>20</v>
      </c>
      <c r="D82" t="s">
        <v>37</v>
      </c>
      <c r="E82" t="s">
        <v>38</v>
      </c>
      <c r="F82" t="s">
        <v>33</v>
      </c>
      <c r="G82" s="1">
        <v>45372</v>
      </c>
      <c r="H82">
        <v>247</v>
      </c>
      <c r="I82">
        <v>45</v>
      </c>
      <c r="J82">
        <v>73</v>
      </c>
      <c r="K82">
        <v>275</v>
      </c>
      <c r="L82">
        <v>65</v>
      </c>
      <c r="M82">
        <v>529</v>
      </c>
      <c r="N82">
        <v>8</v>
      </c>
      <c r="O82">
        <v>6</v>
      </c>
      <c r="P82" t="s">
        <v>24</v>
      </c>
      <c r="Q82">
        <v>12</v>
      </c>
      <c r="R82" s="2">
        <v>145475</v>
      </c>
    </row>
    <row r="83" spans="1:18" x14ac:dyDescent="0.35">
      <c r="A83" t="s">
        <v>18</v>
      </c>
      <c r="B83" t="s">
        <v>19</v>
      </c>
      <c r="C83" t="s">
        <v>20</v>
      </c>
      <c r="D83" t="s">
        <v>39</v>
      </c>
      <c r="E83" t="s">
        <v>40</v>
      </c>
      <c r="F83" t="s">
        <v>23</v>
      </c>
      <c r="G83" s="1">
        <v>45373</v>
      </c>
      <c r="H83">
        <v>169</v>
      </c>
      <c r="I83">
        <v>51</v>
      </c>
      <c r="J83">
        <v>9</v>
      </c>
      <c r="K83">
        <v>127</v>
      </c>
      <c r="L83">
        <v>44</v>
      </c>
      <c r="M83">
        <v>225</v>
      </c>
      <c r="N83">
        <v>2</v>
      </c>
      <c r="O83">
        <v>7</v>
      </c>
      <c r="P83" t="s">
        <v>24</v>
      </c>
      <c r="Q83">
        <v>12</v>
      </c>
      <c r="R83" s="2">
        <v>28575</v>
      </c>
    </row>
    <row r="84" spans="1:18" x14ac:dyDescent="0.35">
      <c r="A84" t="s">
        <v>18</v>
      </c>
      <c r="B84" t="s">
        <v>19</v>
      </c>
      <c r="C84" t="s">
        <v>20</v>
      </c>
      <c r="D84" t="s">
        <v>39</v>
      </c>
      <c r="E84" t="s">
        <v>45</v>
      </c>
      <c r="F84" t="s">
        <v>23</v>
      </c>
      <c r="G84" s="1">
        <v>45374</v>
      </c>
      <c r="H84">
        <v>207</v>
      </c>
      <c r="I84">
        <v>14</v>
      </c>
      <c r="J84">
        <v>22</v>
      </c>
      <c r="K84">
        <v>215</v>
      </c>
      <c r="L84">
        <v>95</v>
      </c>
      <c r="M84">
        <v>984</v>
      </c>
      <c r="N84">
        <v>9</v>
      </c>
      <c r="O84">
        <v>2</v>
      </c>
      <c r="P84" t="s">
        <v>24</v>
      </c>
      <c r="Q84">
        <v>64</v>
      </c>
      <c r="R84" s="2">
        <v>211560</v>
      </c>
    </row>
    <row r="85" spans="1:18" x14ac:dyDescent="0.35">
      <c r="A85" t="s">
        <v>18</v>
      </c>
      <c r="B85" t="s">
        <v>19</v>
      </c>
      <c r="C85" t="s">
        <v>20</v>
      </c>
      <c r="D85" t="s">
        <v>31</v>
      </c>
      <c r="E85" t="s">
        <v>32</v>
      </c>
      <c r="F85" t="s">
        <v>23</v>
      </c>
      <c r="G85" s="1">
        <v>45375</v>
      </c>
      <c r="H85">
        <v>217</v>
      </c>
      <c r="I85">
        <v>11</v>
      </c>
      <c r="J85">
        <v>69</v>
      </c>
      <c r="K85">
        <v>275</v>
      </c>
      <c r="L85">
        <v>70</v>
      </c>
      <c r="M85">
        <v>555</v>
      </c>
      <c r="N85">
        <v>11</v>
      </c>
      <c r="O85">
        <v>6</v>
      </c>
      <c r="P85" t="s">
        <v>24</v>
      </c>
      <c r="Q85">
        <v>28</v>
      </c>
      <c r="R85" s="2">
        <v>152625</v>
      </c>
    </row>
    <row r="86" spans="1:18" x14ac:dyDescent="0.35">
      <c r="A86" t="s">
        <v>28</v>
      </c>
      <c r="B86" t="s">
        <v>29</v>
      </c>
      <c r="C86" t="s">
        <v>20</v>
      </c>
      <c r="D86" t="s">
        <v>31</v>
      </c>
      <c r="E86" t="s">
        <v>32</v>
      </c>
      <c r="F86" t="s">
        <v>33</v>
      </c>
      <c r="G86" s="1">
        <v>45376</v>
      </c>
      <c r="H86">
        <v>172</v>
      </c>
      <c r="I86">
        <v>36</v>
      </c>
      <c r="J86">
        <v>77</v>
      </c>
      <c r="K86">
        <v>213</v>
      </c>
      <c r="L86">
        <v>96</v>
      </c>
      <c r="M86">
        <v>1202</v>
      </c>
      <c r="N86">
        <v>4</v>
      </c>
      <c r="O86">
        <v>10</v>
      </c>
      <c r="P86" t="s">
        <v>24</v>
      </c>
      <c r="Q86">
        <v>47</v>
      </c>
      <c r="R86" s="2">
        <v>256026</v>
      </c>
    </row>
    <row r="87" spans="1:18" x14ac:dyDescent="0.35">
      <c r="A87" t="s">
        <v>25</v>
      </c>
      <c r="B87" t="s">
        <v>26</v>
      </c>
      <c r="C87" t="s">
        <v>20</v>
      </c>
      <c r="D87" t="s">
        <v>37</v>
      </c>
      <c r="E87" t="s">
        <v>46</v>
      </c>
      <c r="F87" t="s">
        <v>23</v>
      </c>
      <c r="G87" s="1">
        <v>45377</v>
      </c>
      <c r="H87">
        <v>149</v>
      </c>
      <c r="I87">
        <v>28</v>
      </c>
      <c r="J87">
        <v>49</v>
      </c>
      <c r="K87">
        <v>170</v>
      </c>
      <c r="L87">
        <v>91</v>
      </c>
      <c r="M87">
        <v>258</v>
      </c>
      <c r="N87">
        <v>13</v>
      </c>
      <c r="O87">
        <v>7</v>
      </c>
      <c r="P87" t="s">
        <v>24</v>
      </c>
      <c r="Q87">
        <v>45</v>
      </c>
      <c r="R87" s="2">
        <v>43860</v>
      </c>
    </row>
    <row r="88" spans="1:18" x14ac:dyDescent="0.35">
      <c r="A88" t="s">
        <v>25</v>
      </c>
      <c r="B88" t="s">
        <v>26</v>
      </c>
      <c r="C88" t="s">
        <v>20</v>
      </c>
      <c r="D88" t="s">
        <v>43</v>
      </c>
      <c r="E88" t="s">
        <v>44</v>
      </c>
      <c r="F88" t="s">
        <v>33</v>
      </c>
      <c r="G88" s="1">
        <v>45378</v>
      </c>
      <c r="H88">
        <v>216</v>
      </c>
      <c r="I88">
        <v>19</v>
      </c>
      <c r="J88">
        <v>19</v>
      </c>
      <c r="K88">
        <v>216</v>
      </c>
      <c r="L88">
        <v>100</v>
      </c>
      <c r="M88">
        <v>942</v>
      </c>
      <c r="N88">
        <v>8</v>
      </c>
      <c r="O88">
        <v>5</v>
      </c>
      <c r="P88" t="s">
        <v>24</v>
      </c>
      <c r="Q88">
        <v>51</v>
      </c>
      <c r="R88" s="2">
        <v>203472</v>
      </c>
    </row>
    <row r="89" spans="1:18" x14ac:dyDescent="0.35">
      <c r="A89" t="s">
        <v>25</v>
      </c>
      <c r="B89" t="s">
        <v>26</v>
      </c>
      <c r="C89" t="s">
        <v>20</v>
      </c>
      <c r="D89" t="s">
        <v>43</v>
      </c>
      <c r="E89" t="s">
        <v>48</v>
      </c>
      <c r="F89" t="s">
        <v>33</v>
      </c>
      <c r="G89" s="1">
        <v>45379</v>
      </c>
      <c r="H89">
        <v>200</v>
      </c>
      <c r="I89">
        <v>60</v>
      </c>
      <c r="J89">
        <v>48</v>
      </c>
      <c r="K89">
        <v>188</v>
      </c>
      <c r="L89">
        <v>71</v>
      </c>
      <c r="M89">
        <v>684</v>
      </c>
      <c r="N89">
        <v>10</v>
      </c>
      <c r="O89">
        <v>0</v>
      </c>
      <c r="P89" t="s">
        <v>24</v>
      </c>
      <c r="Q89">
        <v>12</v>
      </c>
      <c r="R89" s="2">
        <v>128592</v>
      </c>
    </row>
    <row r="90" spans="1:18" x14ac:dyDescent="0.35">
      <c r="A90" t="s">
        <v>28</v>
      </c>
      <c r="B90" t="s">
        <v>29</v>
      </c>
      <c r="C90" t="s">
        <v>20</v>
      </c>
      <c r="D90" t="s">
        <v>31</v>
      </c>
      <c r="E90" t="s">
        <v>32</v>
      </c>
      <c r="F90" t="s">
        <v>30</v>
      </c>
      <c r="G90" s="1">
        <v>45380</v>
      </c>
      <c r="H90">
        <v>128</v>
      </c>
      <c r="I90">
        <v>27</v>
      </c>
      <c r="J90">
        <v>64</v>
      </c>
      <c r="K90">
        <v>165</v>
      </c>
      <c r="L90">
        <v>86</v>
      </c>
      <c r="M90">
        <v>1162</v>
      </c>
      <c r="N90">
        <v>2</v>
      </c>
      <c r="O90">
        <v>5</v>
      </c>
      <c r="P90" t="s">
        <v>24</v>
      </c>
      <c r="Q90">
        <v>29</v>
      </c>
      <c r="R90" s="2">
        <v>191730</v>
      </c>
    </row>
    <row r="91" spans="1:18" x14ac:dyDescent="0.35">
      <c r="A91" t="s">
        <v>25</v>
      </c>
      <c r="B91" t="s">
        <v>26</v>
      </c>
      <c r="C91" t="s">
        <v>20</v>
      </c>
      <c r="D91" t="s">
        <v>39</v>
      </c>
      <c r="E91" t="s">
        <v>40</v>
      </c>
      <c r="F91" t="s">
        <v>30</v>
      </c>
      <c r="G91" s="1">
        <v>45381</v>
      </c>
      <c r="H91">
        <v>143</v>
      </c>
      <c r="I91">
        <v>21</v>
      </c>
      <c r="J91">
        <v>64</v>
      </c>
      <c r="K91">
        <v>186</v>
      </c>
      <c r="L91">
        <v>57</v>
      </c>
      <c r="M91">
        <v>903</v>
      </c>
      <c r="N91">
        <v>5</v>
      </c>
      <c r="O91">
        <v>3</v>
      </c>
      <c r="P91" t="s">
        <v>24</v>
      </c>
      <c r="Q91">
        <v>15</v>
      </c>
      <c r="R91" s="2">
        <v>167958</v>
      </c>
    </row>
    <row r="92" spans="1:18" x14ac:dyDescent="0.35">
      <c r="A92" t="s">
        <v>18</v>
      </c>
      <c r="B92" t="s">
        <v>19</v>
      </c>
      <c r="C92" t="s">
        <v>20</v>
      </c>
      <c r="D92" t="s">
        <v>39</v>
      </c>
      <c r="E92" t="s">
        <v>40</v>
      </c>
      <c r="F92" t="s">
        <v>23</v>
      </c>
      <c r="G92" s="1">
        <v>45382</v>
      </c>
      <c r="H92">
        <v>222</v>
      </c>
      <c r="I92">
        <v>39</v>
      </c>
      <c r="J92">
        <v>28</v>
      </c>
      <c r="K92">
        <v>211</v>
      </c>
      <c r="L92">
        <v>100</v>
      </c>
      <c r="M92">
        <v>466</v>
      </c>
      <c r="N92">
        <v>4</v>
      </c>
      <c r="O92">
        <v>0</v>
      </c>
      <c r="P92" t="s">
        <v>24</v>
      </c>
      <c r="Q92">
        <v>24</v>
      </c>
      <c r="R92" s="2">
        <v>98326</v>
      </c>
    </row>
    <row r="93" spans="1:18" x14ac:dyDescent="0.35">
      <c r="A93" t="s">
        <v>25</v>
      </c>
      <c r="B93" t="s">
        <v>26</v>
      </c>
      <c r="C93" t="s">
        <v>20</v>
      </c>
      <c r="D93" t="s">
        <v>43</v>
      </c>
      <c r="E93" t="s">
        <v>44</v>
      </c>
      <c r="F93" t="s">
        <v>23</v>
      </c>
      <c r="G93" s="1">
        <v>45383</v>
      </c>
      <c r="H93">
        <v>122</v>
      </c>
      <c r="I93">
        <v>46</v>
      </c>
      <c r="J93">
        <v>64</v>
      </c>
      <c r="K93">
        <v>140</v>
      </c>
      <c r="L93">
        <v>66</v>
      </c>
      <c r="M93">
        <v>204</v>
      </c>
      <c r="N93">
        <v>6</v>
      </c>
      <c r="O93">
        <v>4</v>
      </c>
      <c r="P93" t="s">
        <v>24</v>
      </c>
      <c r="Q93">
        <v>69</v>
      </c>
      <c r="R93" s="2">
        <v>28560</v>
      </c>
    </row>
    <row r="94" spans="1:18" x14ac:dyDescent="0.35">
      <c r="A94" t="s">
        <v>34</v>
      </c>
      <c r="B94" t="s">
        <v>35</v>
      </c>
      <c r="C94" t="s">
        <v>20</v>
      </c>
      <c r="D94" t="s">
        <v>31</v>
      </c>
      <c r="E94" t="s">
        <v>47</v>
      </c>
      <c r="F94" t="s">
        <v>23</v>
      </c>
      <c r="G94" s="1">
        <v>45384</v>
      </c>
      <c r="H94">
        <v>228</v>
      </c>
      <c r="I94">
        <v>24</v>
      </c>
      <c r="J94">
        <v>7</v>
      </c>
      <c r="K94">
        <v>211</v>
      </c>
      <c r="L94">
        <v>99</v>
      </c>
      <c r="M94">
        <v>756</v>
      </c>
      <c r="N94">
        <v>12</v>
      </c>
      <c r="O94">
        <v>5</v>
      </c>
      <c r="P94" t="s">
        <v>24</v>
      </c>
      <c r="Q94">
        <v>42</v>
      </c>
      <c r="R94" s="2">
        <v>159516</v>
      </c>
    </row>
    <row r="95" spans="1:18" x14ac:dyDescent="0.35">
      <c r="A95" t="s">
        <v>25</v>
      </c>
      <c r="B95" t="s">
        <v>26</v>
      </c>
      <c r="C95" t="s">
        <v>20</v>
      </c>
      <c r="D95" t="s">
        <v>21</v>
      </c>
      <c r="E95" t="s">
        <v>27</v>
      </c>
      <c r="F95" t="s">
        <v>30</v>
      </c>
      <c r="G95" s="1">
        <v>45385</v>
      </c>
      <c r="H95">
        <v>258</v>
      </c>
      <c r="I95">
        <v>32</v>
      </c>
      <c r="J95">
        <v>14</v>
      </c>
      <c r="K95">
        <v>240</v>
      </c>
      <c r="L95">
        <v>86</v>
      </c>
      <c r="M95">
        <v>1000</v>
      </c>
      <c r="N95">
        <v>3</v>
      </c>
      <c r="O95">
        <v>10</v>
      </c>
      <c r="P95" t="s">
        <v>24</v>
      </c>
      <c r="Q95">
        <v>63</v>
      </c>
      <c r="R95" s="2">
        <v>240000</v>
      </c>
    </row>
    <row r="96" spans="1:18" x14ac:dyDescent="0.35">
      <c r="A96" t="s">
        <v>41</v>
      </c>
      <c r="B96" t="s">
        <v>42</v>
      </c>
      <c r="C96" t="s">
        <v>20</v>
      </c>
      <c r="D96" t="s">
        <v>37</v>
      </c>
      <c r="E96" t="s">
        <v>46</v>
      </c>
      <c r="F96" t="s">
        <v>23</v>
      </c>
      <c r="G96" s="1">
        <v>45386</v>
      </c>
      <c r="H96">
        <v>273</v>
      </c>
      <c r="I96">
        <v>28</v>
      </c>
      <c r="J96">
        <v>2</v>
      </c>
      <c r="K96">
        <v>247</v>
      </c>
      <c r="L96">
        <v>82</v>
      </c>
      <c r="M96">
        <v>100</v>
      </c>
      <c r="N96">
        <v>10</v>
      </c>
      <c r="O96">
        <v>4</v>
      </c>
      <c r="P96" t="s">
        <v>24</v>
      </c>
      <c r="Q96">
        <v>48</v>
      </c>
      <c r="R96" s="2">
        <v>24700</v>
      </c>
    </row>
    <row r="97" spans="1:18" x14ac:dyDescent="0.35">
      <c r="A97" t="s">
        <v>18</v>
      </c>
      <c r="B97" t="s">
        <v>19</v>
      </c>
      <c r="C97" t="s">
        <v>20</v>
      </c>
      <c r="D97" t="s">
        <v>39</v>
      </c>
      <c r="E97" t="s">
        <v>45</v>
      </c>
      <c r="F97" t="s">
        <v>23</v>
      </c>
      <c r="G97" s="1">
        <v>45387</v>
      </c>
      <c r="H97">
        <v>210</v>
      </c>
      <c r="I97">
        <v>59</v>
      </c>
      <c r="J97">
        <v>73</v>
      </c>
      <c r="K97">
        <v>224</v>
      </c>
      <c r="L97">
        <v>61</v>
      </c>
      <c r="M97">
        <v>1422</v>
      </c>
      <c r="N97">
        <v>9</v>
      </c>
      <c r="O97">
        <v>2</v>
      </c>
      <c r="P97" t="s">
        <v>24</v>
      </c>
      <c r="Q97">
        <v>17</v>
      </c>
      <c r="R97" s="2">
        <v>318528</v>
      </c>
    </row>
    <row r="98" spans="1:18" x14ac:dyDescent="0.35">
      <c r="A98" t="s">
        <v>18</v>
      </c>
      <c r="B98" t="s">
        <v>19</v>
      </c>
      <c r="C98" t="s">
        <v>20</v>
      </c>
      <c r="D98" t="s">
        <v>43</v>
      </c>
      <c r="E98" t="s">
        <v>48</v>
      </c>
      <c r="F98" t="s">
        <v>23</v>
      </c>
      <c r="G98" s="1">
        <v>45388</v>
      </c>
      <c r="H98">
        <v>287</v>
      </c>
      <c r="I98">
        <v>16</v>
      </c>
      <c r="J98">
        <v>10</v>
      </c>
      <c r="K98">
        <v>281</v>
      </c>
      <c r="L98">
        <v>88</v>
      </c>
      <c r="M98">
        <v>864</v>
      </c>
      <c r="N98">
        <v>14</v>
      </c>
      <c r="O98">
        <v>3</v>
      </c>
      <c r="P98" t="s">
        <v>24</v>
      </c>
      <c r="Q98">
        <v>51</v>
      </c>
      <c r="R98" s="2">
        <v>242784</v>
      </c>
    </row>
    <row r="99" spans="1:18" x14ac:dyDescent="0.35">
      <c r="A99" t="s">
        <v>18</v>
      </c>
      <c r="B99" t="s">
        <v>19</v>
      </c>
      <c r="C99" t="s">
        <v>20</v>
      </c>
      <c r="D99" t="s">
        <v>31</v>
      </c>
      <c r="E99" t="s">
        <v>47</v>
      </c>
      <c r="F99" t="s">
        <v>23</v>
      </c>
      <c r="G99" s="1">
        <v>45389</v>
      </c>
      <c r="H99">
        <v>109</v>
      </c>
      <c r="I99">
        <v>31</v>
      </c>
      <c r="J99">
        <v>57</v>
      </c>
      <c r="K99">
        <v>135</v>
      </c>
      <c r="L99">
        <v>43</v>
      </c>
      <c r="M99">
        <v>680</v>
      </c>
      <c r="N99">
        <v>11</v>
      </c>
      <c r="O99">
        <v>1</v>
      </c>
      <c r="P99" t="s">
        <v>24</v>
      </c>
      <c r="Q99">
        <v>67</v>
      </c>
      <c r="R99" s="2">
        <v>91800</v>
      </c>
    </row>
    <row r="100" spans="1:18" x14ac:dyDescent="0.35">
      <c r="A100" t="s">
        <v>25</v>
      </c>
      <c r="B100" t="s">
        <v>26</v>
      </c>
      <c r="C100" t="s">
        <v>20</v>
      </c>
      <c r="D100" t="s">
        <v>39</v>
      </c>
      <c r="E100" t="s">
        <v>45</v>
      </c>
      <c r="F100" t="s">
        <v>30</v>
      </c>
      <c r="G100" s="1">
        <v>45390</v>
      </c>
      <c r="H100">
        <v>202</v>
      </c>
      <c r="I100">
        <v>59</v>
      </c>
      <c r="J100">
        <v>42</v>
      </c>
      <c r="K100">
        <v>185</v>
      </c>
      <c r="L100">
        <v>47</v>
      </c>
      <c r="M100">
        <v>998</v>
      </c>
      <c r="N100">
        <v>8</v>
      </c>
      <c r="O100">
        <v>6</v>
      </c>
      <c r="P100" t="s">
        <v>24</v>
      </c>
      <c r="Q100">
        <v>48</v>
      </c>
      <c r="R100" s="2">
        <v>184630</v>
      </c>
    </row>
    <row r="101" spans="1:18" x14ac:dyDescent="0.35">
      <c r="A101" t="s">
        <v>25</v>
      </c>
      <c r="B101" t="s">
        <v>26</v>
      </c>
      <c r="C101" t="s">
        <v>20</v>
      </c>
      <c r="D101" t="s">
        <v>21</v>
      </c>
      <c r="E101" t="s">
        <v>22</v>
      </c>
      <c r="F101" t="s">
        <v>33</v>
      </c>
      <c r="G101" s="1">
        <v>45391</v>
      </c>
      <c r="H101">
        <v>67</v>
      </c>
      <c r="I101">
        <v>53</v>
      </c>
      <c r="J101">
        <v>52</v>
      </c>
      <c r="K101">
        <v>66</v>
      </c>
      <c r="L101">
        <v>86</v>
      </c>
      <c r="M101">
        <v>1391</v>
      </c>
      <c r="N101">
        <v>5</v>
      </c>
      <c r="O101">
        <v>7</v>
      </c>
      <c r="P101" t="s">
        <v>36</v>
      </c>
      <c r="Q101">
        <v>40</v>
      </c>
      <c r="R101" s="2">
        <v>91806</v>
      </c>
    </row>
    <row r="102" spans="1:18" x14ac:dyDescent="0.35">
      <c r="A102" t="s">
        <v>34</v>
      </c>
      <c r="B102" t="s">
        <v>35</v>
      </c>
      <c r="C102" t="s">
        <v>20</v>
      </c>
      <c r="D102" t="s">
        <v>39</v>
      </c>
      <c r="E102" t="s">
        <v>45</v>
      </c>
      <c r="F102" t="s">
        <v>23</v>
      </c>
      <c r="G102" s="1">
        <v>45392</v>
      </c>
      <c r="H102">
        <v>224</v>
      </c>
      <c r="I102">
        <v>43</v>
      </c>
      <c r="J102">
        <v>50</v>
      </c>
      <c r="K102">
        <v>231</v>
      </c>
      <c r="L102">
        <v>99</v>
      </c>
      <c r="M102">
        <v>457</v>
      </c>
      <c r="N102">
        <v>15</v>
      </c>
      <c r="O102">
        <v>5</v>
      </c>
      <c r="P102" t="s">
        <v>24</v>
      </c>
      <c r="Q102">
        <v>21</v>
      </c>
      <c r="R102" s="2">
        <v>105567</v>
      </c>
    </row>
    <row r="103" spans="1:18" x14ac:dyDescent="0.35">
      <c r="A103" t="s">
        <v>34</v>
      </c>
      <c r="B103" t="s">
        <v>35</v>
      </c>
      <c r="C103" t="s">
        <v>20</v>
      </c>
      <c r="D103" t="s">
        <v>37</v>
      </c>
      <c r="E103" t="s">
        <v>46</v>
      </c>
      <c r="F103" t="s">
        <v>30</v>
      </c>
      <c r="G103" s="1">
        <v>45393</v>
      </c>
      <c r="H103">
        <v>155</v>
      </c>
      <c r="I103">
        <v>30</v>
      </c>
      <c r="J103">
        <v>15</v>
      </c>
      <c r="K103">
        <v>140</v>
      </c>
      <c r="L103">
        <v>59</v>
      </c>
      <c r="M103">
        <v>266</v>
      </c>
      <c r="N103">
        <v>13</v>
      </c>
      <c r="O103">
        <v>6</v>
      </c>
      <c r="P103" t="s">
        <v>24</v>
      </c>
      <c r="Q103">
        <v>63</v>
      </c>
      <c r="R103" s="2">
        <v>37240</v>
      </c>
    </row>
    <row r="104" spans="1:18" x14ac:dyDescent="0.35">
      <c r="A104" t="s">
        <v>25</v>
      </c>
      <c r="B104" t="s">
        <v>26</v>
      </c>
      <c r="C104" t="s">
        <v>20</v>
      </c>
      <c r="D104" t="s">
        <v>37</v>
      </c>
      <c r="E104" t="s">
        <v>46</v>
      </c>
      <c r="F104" t="s">
        <v>23</v>
      </c>
      <c r="G104" s="1">
        <v>45394</v>
      </c>
      <c r="H104">
        <v>111</v>
      </c>
      <c r="I104">
        <v>52</v>
      </c>
      <c r="J104">
        <v>26</v>
      </c>
      <c r="K104">
        <v>85</v>
      </c>
      <c r="L104">
        <v>64</v>
      </c>
      <c r="M104">
        <v>331</v>
      </c>
      <c r="N104">
        <v>13</v>
      </c>
      <c r="O104">
        <v>0</v>
      </c>
      <c r="P104" t="s">
        <v>24</v>
      </c>
      <c r="Q104">
        <v>68</v>
      </c>
      <c r="R104" s="2">
        <v>28135</v>
      </c>
    </row>
    <row r="105" spans="1:18" x14ac:dyDescent="0.35">
      <c r="A105" t="s">
        <v>18</v>
      </c>
      <c r="B105" t="s">
        <v>19</v>
      </c>
      <c r="C105" t="s">
        <v>20</v>
      </c>
      <c r="D105" t="s">
        <v>37</v>
      </c>
      <c r="E105" t="s">
        <v>46</v>
      </c>
      <c r="F105" t="s">
        <v>30</v>
      </c>
      <c r="G105" s="1">
        <v>45395</v>
      </c>
      <c r="H105">
        <v>226</v>
      </c>
      <c r="I105">
        <v>12</v>
      </c>
      <c r="J105">
        <v>43</v>
      </c>
      <c r="K105">
        <v>257</v>
      </c>
      <c r="L105">
        <v>54</v>
      </c>
      <c r="M105">
        <v>1176</v>
      </c>
      <c r="N105">
        <v>13</v>
      </c>
      <c r="O105">
        <v>4</v>
      </c>
      <c r="P105" t="s">
        <v>24</v>
      </c>
      <c r="Q105">
        <v>10</v>
      </c>
      <c r="R105" s="2">
        <v>302232</v>
      </c>
    </row>
    <row r="106" spans="1:18" x14ac:dyDescent="0.35">
      <c r="A106" t="s">
        <v>25</v>
      </c>
      <c r="B106" t="s">
        <v>26</v>
      </c>
      <c r="C106" t="s">
        <v>20</v>
      </c>
      <c r="D106" t="s">
        <v>21</v>
      </c>
      <c r="E106" t="s">
        <v>27</v>
      </c>
      <c r="F106" t="s">
        <v>23</v>
      </c>
      <c r="G106" s="1">
        <v>45396</v>
      </c>
      <c r="H106">
        <v>156</v>
      </c>
      <c r="I106">
        <v>59</v>
      </c>
      <c r="J106">
        <v>73</v>
      </c>
      <c r="K106">
        <v>170</v>
      </c>
      <c r="L106">
        <v>59</v>
      </c>
      <c r="M106">
        <v>140</v>
      </c>
      <c r="N106">
        <v>4</v>
      </c>
      <c r="O106">
        <v>10</v>
      </c>
      <c r="P106" t="s">
        <v>24</v>
      </c>
      <c r="Q106">
        <v>63</v>
      </c>
      <c r="R106" s="2">
        <v>23800</v>
      </c>
    </row>
    <row r="107" spans="1:18" x14ac:dyDescent="0.35">
      <c r="A107" t="s">
        <v>25</v>
      </c>
      <c r="B107" t="s">
        <v>26</v>
      </c>
      <c r="C107" t="s">
        <v>20</v>
      </c>
      <c r="D107" t="s">
        <v>43</v>
      </c>
      <c r="E107" t="s">
        <v>48</v>
      </c>
      <c r="F107" t="s">
        <v>23</v>
      </c>
      <c r="G107" s="1">
        <v>45397</v>
      </c>
      <c r="H107">
        <v>223</v>
      </c>
      <c r="I107">
        <v>14</v>
      </c>
      <c r="J107">
        <v>44</v>
      </c>
      <c r="K107">
        <v>253</v>
      </c>
      <c r="L107">
        <v>48</v>
      </c>
      <c r="M107">
        <v>324</v>
      </c>
      <c r="N107">
        <v>4</v>
      </c>
      <c r="O107">
        <v>2</v>
      </c>
      <c r="P107" t="s">
        <v>24</v>
      </c>
      <c r="Q107">
        <v>19</v>
      </c>
      <c r="R107" s="2">
        <v>81972</v>
      </c>
    </row>
    <row r="108" spans="1:18" x14ac:dyDescent="0.35">
      <c r="A108" t="s">
        <v>28</v>
      </c>
      <c r="B108" t="s">
        <v>29</v>
      </c>
      <c r="C108" t="s">
        <v>20</v>
      </c>
      <c r="D108" t="s">
        <v>43</v>
      </c>
      <c r="E108" t="s">
        <v>48</v>
      </c>
      <c r="F108" t="s">
        <v>30</v>
      </c>
      <c r="G108" s="1">
        <v>45398</v>
      </c>
      <c r="H108">
        <v>112</v>
      </c>
      <c r="I108">
        <v>32</v>
      </c>
      <c r="J108">
        <v>17</v>
      </c>
      <c r="K108">
        <v>97</v>
      </c>
      <c r="L108">
        <v>91</v>
      </c>
      <c r="M108">
        <v>881</v>
      </c>
      <c r="N108">
        <v>11</v>
      </c>
      <c r="O108">
        <v>7</v>
      </c>
      <c r="P108" t="s">
        <v>24</v>
      </c>
      <c r="Q108">
        <v>66</v>
      </c>
      <c r="R108" s="2">
        <v>85457</v>
      </c>
    </row>
    <row r="109" spans="1:18" x14ac:dyDescent="0.35">
      <c r="A109" t="s">
        <v>28</v>
      </c>
      <c r="B109" t="s">
        <v>29</v>
      </c>
      <c r="C109" t="s">
        <v>20</v>
      </c>
      <c r="D109" t="s">
        <v>43</v>
      </c>
      <c r="E109" t="s">
        <v>44</v>
      </c>
      <c r="F109" t="s">
        <v>23</v>
      </c>
      <c r="G109" s="1">
        <v>45399</v>
      </c>
      <c r="H109">
        <v>117</v>
      </c>
      <c r="I109">
        <v>44</v>
      </c>
      <c r="J109">
        <v>33</v>
      </c>
      <c r="K109">
        <v>106</v>
      </c>
      <c r="L109">
        <v>51</v>
      </c>
      <c r="M109">
        <v>243</v>
      </c>
      <c r="N109">
        <v>10</v>
      </c>
      <c r="O109">
        <v>10</v>
      </c>
      <c r="P109" t="s">
        <v>24</v>
      </c>
      <c r="Q109">
        <v>19</v>
      </c>
      <c r="R109" s="2">
        <v>25758</v>
      </c>
    </row>
    <row r="110" spans="1:18" x14ac:dyDescent="0.35">
      <c r="A110" t="s">
        <v>18</v>
      </c>
      <c r="B110" t="s">
        <v>19</v>
      </c>
      <c r="C110" t="s">
        <v>20</v>
      </c>
      <c r="D110" t="s">
        <v>37</v>
      </c>
      <c r="E110" t="s">
        <v>38</v>
      </c>
      <c r="F110" t="s">
        <v>33</v>
      </c>
      <c r="G110" s="1">
        <v>45400</v>
      </c>
      <c r="H110">
        <v>200</v>
      </c>
      <c r="I110">
        <v>34</v>
      </c>
      <c r="J110">
        <v>27</v>
      </c>
      <c r="K110">
        <v>193</v>
      </c>
      <c r="L110">
        <v>84</v>
      </c>
      <c r="M110">
        <v>448</v>
      </c>
      <c r="N110">
        <v>15</v>
      </c>
      <c r="O110">
        <v>2</v>
      </c>
      <c r="P110" t="s">
        <v>24</v>
      </c>
      <c r="Q110">
        <v>49</v>
      </c>
      <c r="R110" s="2">
        <v>86464</v>
      </c>
    </row>
    <row r="111" spans="1:18" x14ac:dyDescent="0.35">
      <c r="A111" t="s">
        <v>18</v>
      </c>
      <c r="B111" t="s">
        <v>19</v>
      </c>
      <c r="C111" t="s">
        <v>20</v>
      </c>
      <c r="D111" t="s">
        <v>37</v>
      </c>
      <c r="E111" t="s">
        <v>38</v>
      </c>
      <c r="F111" t="s">
        <v>23</v>
      </c>
      <c r="G111" s="1">
        <v>45401</v>
      </c>
      <c r="H111">
        <v>93</v>
      </c>
      <c r="I111">
        <v>21</v>
      </c>
      <c r="J111">
        <v>62</v>
      </c>
      <c r="K111">
        <v>134</v>
      </c>
      <c r="L111">
        <v>82</v>
      </c>
      <c r="M111">
        <v>815</v>
      </c>
      <c r="N111">
        <v>15</v>
      </c>
      <c r="O111">
        <v>7</v>
      </c>
      <c r="P111" t="s">
        <v>24</v>
      </c>
      <c r="Q111">
        <v>30</v>
      </c>
      <c r="R111" s="2">
        <v>109210</v>
      </c>
    </row>
    <row r="112" spans="1:18" x14ac:dyDescent="0.35">
      <c r="A112" t="s">
        <v>28</v>
      </c>
      <c r="B112" t="s">
        <v>29</v>
      </c>
      <c r="C112" t="s">
        <v>20</v>
      </c>
      <c r="D112" t="s">
        <v>21</v>
      </c>
      <c r="E112" t="s">
        <v>22</v>
      </c>
      <c r="F112" t="s">
        <v>30</v>
      </c>
      <c r="G112" s="1">
        <v>45402</v>
      </c>
      <c r="H112">
        <v>70</v>
      </c>
      <c r="I112">
        <v>23</v>
      </c>
      <c r="J112">
        <v>48</v>
      </c>
      <c r="K112">
        <v>95</v>
      </c>
      <c r="L112">
        <v>67</v>
      </c>
      <c r="M112">
        <v>244</v>
      </c>
      <c r="N112">
        <v>12</v>
      </c>
      <c r="O112">
        <v>6</v>
      </c>
      <c r="P112" t="s">
        <v>24</v>
      </c>
      <c r="Q112">
        <v>26</v>
      </c>
      <c r="R112" s="2">
        <v>23180</v>
      </c>
    </row>
    <row r="113" spans="1:18" x14ac:dyDescent="0.35">
      <c r="A113" t="s">
        <v>18</v>
      </c>
      <c r="B113" t="s">
        <v>19</v>
      </c>
      <c r="C113" t="s">
        <v>20</v>
      </c>
      <c r="D113" t="s">
        <v>37</v>
      </c>
      <c r="E113" t="s">
        <v>38</v>
      </c>
      <c r="F113" t="s">
        <v>33</v>
      </c>
      <c r="G113" s="1">
        <v>45403</v>
      </c>
      <c r="H113">
        <v>132</v>
      </c>
      <c r="I113">
        <v>45</v>
      </c>
      <c r="J113">
        <v>69</v>
      </c>
      <c r="K113">
        <v>156</v>
      </c>
      <c r="L113">
        <v>76</v>
      </c>
      <c r="M113">
        <v>482</v>
      </c>
      <c r="N113">
        <v>3</v>
      </c>
      <c r="O113">
        <v>10</v>
      </c>
      <c r="P113" t="s">
        <v>24</v>
      </c>
      <c r="Q113">
        <v>60</v>
      </c>
      <c r="R113" s="2">
        <v>75192</v>
      </c>
    </row>
    <row r="114" spans="1:18" x14ac:dyDescent="0.35">
      <c r="A114" t="s">
        <v>34</v>
      </c>
      <c r="B114" t="s">
        <v>35</v>
      </c>
      <c r="C114" t="s">
        <v>20</v>
      </c>
      <c r="D114" t="s">
        <v>21</v>
      </c>
      <c r="E114" t="s">
        <v>27</v>
      </c>
      <c r="F114" t="s">
        <v>33</v>
      </c>
      <c r="G114" s="1">
        <v>45404</v>
      </c>
      <c r="H114">
        <v>75</v>
      </c>
      <c r="I114">
        <v>17</v>
      </c>
      <c r="J114">
        <v>48</v>
      </c>
      <c r="K114">
        <v>106</v>
      </c>
      <c r="L114">
        <v>67</v>
      </c>
      <c r="M114">
        <v>655</v>
      </c>
      <c r="N114">
        <v>12</v>
      </c>
      <c r="O114">
        <v>7</v>
      </c>
      <c r="P114" t="s">
        <v>24</v>
      </c>
      <c r="Q114">
        <v>43</v>
      </c>
      <c r="R114" s="2">
        <v>69430</v>
      </c>
    </row>
    <row r="115" spans="1:18" x14ac:dyDescent="0.35">
      <c r="A115" t="s">
        <v>25</v>
      </c>
      <c r="B115" t="s">
        <v>26</v>
      </c>
      <c r="C115" t="s">
        <v>20</v>
      </c>
      <c r="D115" t="s">
        <v>37</v>
      </c>
      <c r="E115" t="s">
        <v>38</v>
      </c>
      <c r="F115" t="s">
        <v>33</v>
      </c>
      <c r="G115" s="1">
        <v>45405</v>
      </c>
      <c r="H115">
        <v>103</v>
      </c>
      <c r="I115">
        <v>40</v>
      </c>
      <c r="J115">
        <v>27</v>
      </c>
      <c r="K115">
        <v>90</v>
      </c>
      <c r="L115">
        <v>84</v>
      </c>
      <c r="M115">
        <v>54</v>
      </c>
      <c r="N115">
        <v>14</v>
      </c>
      <c r="O115">
        <v>3</v>
      </c>
      <c r="P115" t="s">
        <v>24</v>
      </c>
      <c r="Q115">
        <v>35</v>
      </c>
      <c r="R115" s="2">
        <v>4860</v>
      </c>
    </row>
    <row r="116" spans="1:18" x14ac:dyDescent="0.35">
      <c r="A116" t="s">
        <v>41</v>
      </c>
      <c r="B116" t="s">
        <v>42</v>
      </c>
      <c r="C116" t="s">
        <v>20</v>
      </c>
      <c r="D116" t="s">
        <v>39</v>
      </c>
      <c r="E116" t="s">
        <v>45</v>
      </c>
      <c r="F116" t="s">
        <v>33</v>
      </c>
      <c r="G116" s="1">
        <v>45406</v>
      </c>
      <c r="H116">
        <v>75</v>
      </c>
      <c r="I116">
        <v>38</v>
      </c>
      <c r="J116">
        <v>68</v>
      </c>
      <c r="K116">
        <v>105</v>
      </c>
      <c r="L116">
        <v>85</v>
      </c>
      <c r="M116">
        <v>56</v>
      </c>
      <c r="N116">
        <v>14</v>
      </c>
      <c r="O116">
        <v>2</v>
      </c>
      <c r="P116" t="s">
        <v>24</v>
      </c>
      <c r="Q116">
        <v>50</v>
      </c>
      <c r="R116" s="2">
        <v>5880</v>
      </c>
    </row>
    <row r="117" spans="1:18" x14ac:dyDescent="0.35">
      <c r="A117" t="s">
        <v>18</v>
      </c>
      <c r="B117" t="s">
        <v>19</v>
      </c>
      <c r="C117" t="s">
        <v>20</v>
      </c>
      <c r="D117" t="s">
        <v>37</v>
      </c>
      <c r="E117" t="s">
        <v>46</v>
      </c>
      <c r="F117" t="s">
        <v>33</v>
      </c>
      <c r="G117" s="1">
        <v>45407</v>
      </c>
      <c r="H117">
        <v>193</v>
      </c>
      <c r="I117">
        <v>56</v>
      </c>
      <c r="J117">
        <v>11</v>
      </c>
      <c r="K117">
        <v>148</v>
      </c>
      <c r="L117">
        <v>44</v>
      </c>
      <c r="M117">
        <v>943</v>
      </c>
      <c r="N117">
        <v>15</v>
      </c>
      <c r="O117">
        <v>3</v>
      </c>
      <c r="P117" t="s">
        <v>24</v>
      </c>
      <c r="Q117">
        <v>47</v>
      </c>
      <c r="R117" s="2">
        <v>139564</v>
      </c>
    </row>
    <row r="118" spans="1:18" x14ac:dyDescent="0.35">
      <c r="A118" t="s">
        <v>34</v>
      </c>
      <c r="B118" t="s">
        <v>35</v>
      </c>
      <c r="C118" t="s">
        <v>20</v>
      </c>
      <c r="D118" t="s">
        <v>31</v>
      </c>
      <c r="E118" t="s">
        <v>47</v>
      </c>
      <c r="F118" t="s">
        <v>30</v>
      </c>
      <c r="G118" s="1">
        <v>45408</v>
      </c>
      <c r="H118">
        <v>271</v>
      </c>
      <c r="I118">
        <v>58</v>
      </c>
      <c r="J118">
        <v>23</v>
      </c>
      <c r="K118">
        <v>236</v>
      </c>
      <c r="L118">
        <v>87</v>
      </c>
      <c r="M118">
        <v>741</v>
      </c>
      <c r="N118">
        <v>13</v>
      </c>
      <c r="O118">
        <v>2</v>
      </c>
      <c r="P118" t="s">
        <v>24</v>
      </c>
      <c r="Q118">
        <v>52</v>
      </c>
      <c r="R118" s="2">
        <v>174876</v>
      </c>
    </row>
    <row r="119" spans="1:18" x14ac:dyDescent="0.35">
      <c r="A119" t="s">
        <v>28</v>
      </c>
      <c r="B119" t="s">
        <v>29</v>
      </c>
      <c r="C119" t="s">
        <v>20</v>
      </c>
      <c r="D119" t="s">
        <v>39</v>
      </c>
      <c r="E119" t="s">
        <v>45</v>
      </c>
      <c r="F119" t="s">
        <v>30</v>
      </c>
      <c r="G119" s="1">
        <v>45409</v>
      </c>
      <c r="H119">
        <v>147</v>
      </c>
      <c r="I119">
        <v>15</v>
      </c>
      <c r="J119">
        <v>68</v>
      </c>
      <c r="K119">
        <v>200</v>
      </c>
      <c r="L119">
        <v>70</v>
      </c>
      <c r="M119">
        <v>520</v>
      </c>
      <c r="N119">
        <v>9</v>
      </c>
      <c r="O119">
        <v>5</v>
      </c>
      <c r="P119" t="s">
        <v>24</v>
      </c>
      <c r="Q119">
        <v>13</v>
      </c>
      <c r="R119" s="2">
        <v>104000</v>
      </c>
    </row>
    <row r="120" spans="1:18" x14ac:dyDescent="0.35">
      <c r="A120" t="s">
        <v>18</v>
      </c>
      <c r="B120" t="s">
        <v>19</v>
      </c>
      <c r="C120" t="s">
        <v>20</v>
      </c>
      <c r="D120" t="s">
        <v>37</v>
      </c>
      <c r="E120" t="s">
        <v>38</v>
      </c>
      <c r="F120" t="s">
        <v>33</v>
      </c>
      <c r="G120" s="1">
        <v>45410</v>
      </c>
      <c r="H120">
        <v>229</v>
      </c>
      <c r="I120">
        <v>52</v>
      </c>
      <c r="J120">
        <v>46</v>
      </c>
      <c r="K120">
        <v>223</v>
      </c>
      <c r="L120">
        <v>51</v>
      </c>
      <c r="M120">
        <v>1043</v>
      </c>
      <c r="N120">
        <v>11</v>
      </c>
      <c r="O120">
        <v>9</v>
      </c>
      <c r="P120" t="s">
        <v>24</v>
      </c>
      <c r="Q120">
        <v>12</v>
      </c>
      <c r="R120" s="2">
        <v>232589</v>
      </c>
    </row>
    <row r="121" spans="1:18" x14ac:dyDescent="0.35">
      <c r="A121" t="s">
        <v>34</v>
      </c>
      <c r="B121" t="s">
        <v>35</v>
      </c>
      <c r="C121" t="s">
        <v>20</v>
      </c>
      <c r="D121" t="s">
        <v>37</v>
      </c>
      <c r="E121" t="s">
        <v>38</v>
      </c>
      <c r="F121" t="s">
        <v>30</v>
      </c>
      <c r="G121" s="1">
        <v>45411</v>
      </c>
      <c r="H121">
        <v>167</v>
      </c>
      <c r="I121">
        <v>21</v>
      </c>
      <c r="J121">
        <v>3</v>
      </c>
      <c r="K121">
        <v>149</v>
      </c>
      <c r="L121">
        <v>78</v>
      </c>
      <c r="M121">
        <v>749</v>
      </c>
      <c r="N121">
        <v>8</v>
      </c>
      <c r="O121">
        <v>5</v>
      </c>
      <c r="P121" t="s">
        <v>24</v>
      </c>
      <c r="Q121">
        <v>28</v>
      </c>
      <c r="R121" s="2">
        <v>111601</v>
      </c>
    </row>
    <row r="122" spans="1:18" x14ac:dyDescent="0.35">
      <c r="A122" t="s">
        <v>28</v>
      </c>
      <c r="B122" t="s">
        <v>29</v>
      </c>
      <c r="C122" t="s">
        <v>20</v>
      </c>
      <c r="D122" t="s">
        <v>37</v>
      </c>
      <c r="E122" t="s">
        <v>38</v>
      </c>
      <c r="F122" t="s">
        <v>30</v>
      </c>
      <c r="G122" s="1">
        <v>45292</v>
      </c>
      <c r="H122">
        <v>223</v>
      </c>
      <c r="I122">
        <v>40</v>
      </c>
      <c r="J122">
        <v>27</v>
      </c>
      <c r="K122">
        <v>210</v>
      </c>
      <c r="L122">
        <v>51</v>
      </c>
      <c r="M122">
        <v>918</v>
      </c>
      <c r="N122">
        <v>9</v>
      </c>
      <c r="O122">
        <v>4</v>
      </c>
      <c r="P122" t="s">
        <v>24</v>
      </c>
      <c r="Q122">
        <v>15</v>
      </c>
      <c r="R122" s="2">
        <v>192780</v>
      </c>
    </row>
    <row r="123" spans="1:18" x14ac:dyDescent="0.35">
      <c r="A123" t="s">
        <v>34</v>
      </c>
      <c r="B123" t="s">
        <v>35</v>
      </c>
      <c r="C123" t="s">
        <v>20</v>
      </c>
      <c r="D123" t="s">
        <v>31</v>
      </c>
      <c r="E123" t="s">
        <v>47</v>
      </c>
      <c r="F123" t="s">
        <v>33</v>
      </c>
      <c r="G123" s="1">
        <v>45293</v>
      </c>
      <c r="H123">
        <v>203</v>
      </c>
      <c r="I123">
        <v>53</v>
      </c>
      <c r="J123">
        <v>32</v>
      </c>
      <c r="K123">
        <v>182</v>
      </c>
      <c r="L123">
        <v>65</v>
      </c>
      <c r="M123">
        <v>1288</v>
      </c>
      <c r="N123">
        <v>7</v>
      </c>
      <c r="O123">
        <v>4</v>
      </c>
      <c r="P123" t="s">
        <v>24</v>
      </c>
      <c r="Q123">
        <v>57</v>
      </c>
      <c r="R123" s="2">
        <v>234416</v>
      </c>
    </row>
    <row r="124" spans="1:18" x14ac:dyDescent="0.35">
      <c r="A124" t="s">
        <v>18</v>
      </c>
      <c r="B124" t="s">
        <v>19</v>
      </c>
      <c r="C124" t="s">
        <v>20</v>
      </c>
      <c r="D124" t="s">
        <v>31</v>
      </c>
      <c r="E124" t="s">
        <v>47</v>
      </c>
      <c r="F124" t="s">
        <v>23</v>
      </c>
      <c r="G124" s="1">
        <v>45294</v>
      </c>
      <c r="H124">
        <v>88</v>
      </c>
      <c r="I124">
        <v>30</v>
      </c>
      <c r="J124">
        <v>32</v>
      </c>
      <c r="K124">
        <v>90</v>
      </c>
      <c r="L124">
        <v>91</v>
      </c>
      <c r="M124">
        <v>1313</v>
      </c>
      <c r="N124">
        <v>14</v>
      </c>
      <c r="O124">
        <v>5</v>
      </c>
      <c r="P124" t="s">
        <v>36</v>
      </c>
      <c r="Q124">
        <v>44</v>
      </c>
      <c r="R124" s="2">
        <v>118170</v>
      </c>
    </row>
    <row r="125" spans="1:18" x14ac:dyDescent="0.35">
      <c r="A125" t="s">
        <v>28</v>
      </c>
      <c r="B125" t="s">
        <v>29</v>
      </c>
      <c r="C125" t="s">
        <v>20</v>
      </c>
      <c r="D125" t="s">
        <v>31</v>
      </c>
      <c r="E125" t="s">
        <v>47</v>
      </c>
      <c r="F125" t="s">
        <v>33</v>
      </c>
      <c r="G125" s="1">
        <v>45295</v>
      </c>
      <c r="H125">
        <v>70</v>
      </c>
      <c r="I125">
        <v>9</v>
      </c>
      <c r="J125">
        <v>32</v>
      </c>
      <c r="K125">
        <v>93</v>
      </c>
      <c r="L125">
        <v>81</v>
      </c>
      <c r="M125">
        <v>1110</v>
      </c>
      <c r="N125">
        <v>15</v>
      </c>
      <c r="O125">
        <v>0</v>
      </c>
      <c r="P125" t="s">
        <v>24</v>
      </c>
      <c r="Q125">
        <v>27</v>
      </c>
      <c r="R125" s="2">
        <v>103230</v>
      </c>
    </row>
    <row r="126" spans="1:18" x14ac:dyDescent="0.35">
      <c r="A126" t="s">
        <v>34</v>
      </c>
      <c r="B126" t="s">
        <v>35</v>
      </c>
      <c r="C126" t="s">
        <v>20</v>
      </c>
      <c r="D126" t="s">
        <v>31</v>
      </c>
      <c r="E126" t="s">
        <v>47</v>
      </c>
      <c r="F126" t="s">
        <v>30</v>
      </c>
      <c r="G126" s="1">
        <v>45296</v>
      </c>
      <c r="H126">
        <v>291</v>
      </c>
      <c r="I126">
        <v>21</v>
      </c>
      <c r="J126">
        <v>70</v>
      </c>
      <c r="K126">
        <v>340</v>
      </c>
      <c r="L126">
        <v>63</v>
      </c>
      <c r="M126">
        <v>282</v>
      </c>
      <c r="N126">
        <v>14</v>
      </c>
      <c r="O126">
        <v>8</v>
      </c>
      <c r="P126" t="s">
        <v>24</v>
      </c>
      <c r="Q126">
        <v>23</v>
      </c>
      <c r="R126" s="2">
        <v>95880</v>
      </c>
    </row>
    <row r="127" spans="1:18" x14ac:dyDescent="0.35">
      <c r="A127" t="s">
        <v>34</v>
      </c>
      <c r="B127" t="s">
        <v>35</v>
      </c>
      <c r="C127" t="s">
        <v>20</v>
      </c>
      <c r="D127" t="s">
        <v>39</v>
      </c>
      <c r="E127" t="s">
        <v>40</v>
      </c>
      <c r="F127" t="s">
        <v>30</v>
      </c>
      <c r="G127" s="1">
        <v>45297</v>
      </c>
      <c r="H127">
        <v>191</v>
      </c>
      <c r="I127">
        <v>26</v>
      </c>
      <c r="J127">
        <v>62</v>
      </c>
      <c r="K127">
        <v>227</v>
      </c>
      <c r="L127">
        <v>50</v>
      </c>
      <c r="M127">
        <v>423</v>
      </c>
      <c r="N127">
        <v>10</v>
      </c>
      <c r="O127">
        <v>7</v>
      </c>
      <c r="P127" t="s">
        <v>24</v>
      </c>
      <c r="Q127">
        <v>63</v>
      </c>
      <c r="R127" s="2">
        <v>96021</v>
      </c>
    </row>
    <row r="128" spans="1:18" x14ac:dyDescent="0.35">
      <c r="A128" t="s">
        <v>18</v>
      </c>
      <c r="B128" t="s">
        <v>19</v>
      </c>
      <c r="C128" t="s">
        <v>20</v>
      </c>
      <c r="D128" t="s">
        <v>37</v>
      </c>
      <c r="E128" t="s">
        <v>46</v>
      </c>
      <c r="F128" t="s">
        <v>23</v>
      </c>
      <c r="G128" s="1">
        <v>45298</v>
      </c>
      <c r="H128">
        <v>161</v>
      </c>
      <c r="I128">
        <v>15</v>
      </c>
      <c r="J128">
        <v>43</v>
      </c>
      <c r="K128">
        <v>189</v>
      </c>
      <c r="L128">
        <v>71</v>
      </c>
      <c r="M128">
        <v>815</v>
      </c>
      <c r="N128">
        <v>8</v>
      </c>
      <c r="O128">
        <v>8</v>
      </c>
      <c r="P128" t="s">
        <v>24</v>
      </c>
      <c r="Q128">
        <v>22</v>
      </c>
      <c r="R128" s="2">
        <v>154035</v>
      </c>
    </row>
    <row r="129" spans="1:18" x14ac:dyDescent="0.35">
      <c r="A129" t="s">
        <v>18</v>
      </c>
      <c r="B129" t="s">
        <v>19</v>
      </c>
      <c r="C129" t="s">
        <v>20</v>
      </c>
      <c r="D129" t="s">
        <v>39</v>
      </c>
      <c r="E129" t="s">
        <v>45</v>
      </c>
      <c r="F129" t="s">
        <v>23</v>
      </c>
      <c r="G129" s="1">
        <v>45299</v>
      </c>
      <c r="H129">
        <v>175</v>
      </c>
      <c r="I129">
        <v>50</v>
      </c>
      <c r="J129">
        <v>41</v>
      </c>
      <c r="K129">
        <v>166</v>
      </c>
      <c r="L129">
        <v>60</v>
      </c>
      <c r="M129">
        <v>1440</v>
      </c>
      <c r="N129">
        <v>2</v>
      </c>
      <c r="O129">
        <v>10</v>
      </c>
      <c r="P129" t="s">
        <v>24</v>
      </c>
      <c r="Q129">
        <v>25</v>
      </c>
      <c r="R129" s="2">
        <v>239040</v>
      </c>
    </row>
    <row r="130" spans="1:18" x14ac:dyDescent="0.35">
      <c r="A130" t="s">
        <v>25</v>
      </c>
      <c r="B130" t="s">
        <v>26</v>
      </c>
      <c r="C130" t="s">
        <v>20</v>
      </c>
      <c r="D130" t="s">
        <v>31</v>
      </c>
      <c r="E130" t="s">
        <v>47</v>
      </c>
      <c r="F130" t="s">
        <v>33</v>
      </c>
      <c r="G130" s="1">
        <v>45300</v>
      </c>
      <c r="H130">
        <v>76</v>
      </c>
      <c r="I130">
        <v>31</v>
      </c>
      <c r="J130">
        <v>16</v>
      </c>
      <c r="K130">
        <v>61</v>
      </c>
      <c r="L130">
        <v>91</v>
      </c>
      <c r="M130">
        <v>504</v>
      </c>
      <c r="N130">
        <v>6</v>
      </c>
      <c r="O130">
        <v>0</v>
      </c>
      <c r="P130" t="s">
        <v>36</v>
      </c>
      <c r="Q130">
        <v>66</v>
      </c>
      <c r="R130" s="2">
        <v>30744</v>
      </c>
    </row>
    <row r="131" spans="1:18" x14ac:dyDescent="0.35">
      <c r="A131" t="s">
        <v>28</v>
      </c>
      <c r="B131" t="s">
        <v>29</v>
      </c>
      <c r="C131" t="s">
        <v>20</v>
      </c>
      <c r="D131" t="s">
        <v>21</v>
      </c>
      <c r="E131" t="s">
        <v>27</v>
      </c>
      <c r="F131" t="s">
        <v>23</v>
      </c>
      <c r="G131" s="1">
        <v>45301</v>
      </c>
      <c r="H131">
        <v>111</v>
      </c>
      <c r="I131">
        <v>40</v>
      </c>
      <c r="J131">
        <v>49</v>
      </c>
      <c r="K131">
        <v>120</v>
      </c>
      <c r="L131">
        <v>94</v>
      </c>
      <c r="M131">
        <v>1424</v>
      </c>
      <c r="N131">
        <v>10</v>
      </c>
      <c r="O131">
        <v>8</v>
      </c>
      <c r="P131" t="s">
        <v>24</v>
      </c>
      <c r="Q131">
        <v>51</v>
      </c>
      <c r="R131" s="2">
        <v>170880</v>
      </c>
    </row>
    <row r="132" spans="1:18" x14ac:dyDescent="0.35">
      <c r="A132" t="s">
        <v>28</v>
      </c>
      <c r="B132" t="s">
        <v>29</v>
      </c>
      <c r="C132" t="s">
        <v>20</v>
      </c>
      <c r="D132" t="s">
        <v>21</v>
      </c>
      <c r="E132" t="s">
        <v>22</v>
      </c>
      <c r="F132" t="s">
        <v>23</v>
      </c>
      <c r="G132" s="1">
        <v>45302</v>
      </c>
      <c r="H132">
        <v>232</v>
      </c>
      <c r="I132">
        <v>51</v>
      </c>
      <c r="J132">
        <v>54</v>
      </c>
      <c r="K132">
        <v>235</v>
      </c>
      <c r="L132">
        <v>61</v>
      </c>
      <c r="M132">
        <v>1167</v>
      </c>
      <c r="N132">
        <v>13</v>
      </c>
      <c r="O132">
        <v>6</v>
      </c>
      <c r="P132" t="s">
        <v>24</v>
      </c>
      <c r="Q132">
        <v>32</v>
      </c>
      <c r="R132" s="2">
        <v>274245</v>
      </c>
    </row>
    <row r="133" spans="1:18" x14ac:dyDescent="0.35">
      <c r="A133" t="s">
        <v>41</v>
      </c>
      <c r="B133" t="s">
        <v>42</v>
      </c>
      <c r="C133" t="s">
        <v>20</v>
      </c>
      <c r="D133" t="s">
        <v>31</v>
      </c>
      <c r="E133" t="s">
        <v>47</v>
      </c>
      <c r="F133" t="s">
        <v>23</v>
      </c>
      <c r="G133" s="1">
        <v>45303</v>
      </c>
      <c r="H133">
        <v>271</v>
      </c>
      <c r="I133">
        <v>60</v>
      </c>
      <c r="J133">
        <v>15</v>
      </c>
      <c r="K133">
        <v>226</v>
      </c>
      <c r="L133">
        <v>54</v>
      </c>
      <c r="M133">
        <v>991</v>
      </c>
      <c r="N133">
        <v>12</v>
      </c>
      <c r="O133">
        <v>7</v>
      </c>
      <c r="P133" t="s">
        <v>24</v>
      </c>
      <c r="Q133">
        <v>42</v>
      </c>
      <c r="R133" s="2">
        <v>223966</v>
      </c>
    </row>
    <row r="134" spans="1:18" x14ac:dyDescent="0.35">
      <c r="A134" t="s">
        <v>41</v>
      </c>
      <c r="B134" t="s">
        <v>42</v>
      </c>
      <c r="C134" t="s">
        <v>20</v>
      </c>
      <c r="D134" t="s">
        <v>39</v>
      </c>
      <c r="E134" t="s">
        <v>45</v>
      </c>
      <c r="F134" t="s">
        <v>33</v>
      </c>
      <c r="G134" s="1">
        <v>45304</v>
      </c>
      <c r="H134">
        <v>158</v>
      </c>
      <c r="I134">
        <v>22</v>
      </c>
      <c r="J134">
        <v>6</v>
      </c>
      <c r="K134">
        <v>142</v>
      </c>
      <c r="L134">
        <v>56</v>
      </c>
      <c r="M134">
        <v>1076</v>
      </c>
      <c r="N134">
        <v>4</v>
      </c>
      <c r="O134">
        <v>9</v>
      </c>
      <c r="P134" t="s">
        <v>24</v>
      </c>
      <c r="Q134">
        <v>12</v>
      </c>
      <c r="R134" s="2">
        <v>152792</v>
      </c>
    </row>
    <row r="135" spans="1:18" x14ac:dyDescent="0.35">
      <c r="A135" t="s">
        <v>25</v>
      </c>
      <c r="B135" t="s">
        <v>26</v>
      </c>
      <c r="C135" t="s">
        <v>20</v>
      </c>
      <c r="D135" t="s">
        <v>21</v>
      </c>
      <c r="E135" t="s">
        <v>27</v>
      </c>
      <c r="F135" t="s">
        <v>30</v>
      </c>
      <c r="G135" s="1">
        <v>45305</v>
      </c>
      <c r="H135">
        <v>293</v>
      </c>
      <c r="I135">
        <v>53</v>
      </c>
      <c r="J135">
        <v>49</v>
      </c>
      <c r="K135">
        <v>289</v>
      </c>
      <c r="L135">
        <v>99</v>
      </c>
      <c r="M135">
        <v>920</v>
      </c>
      <c r="N135">
        <v>8</v>
      </c>
      <c r="O135">
        <v>3</v>
      </c>
      <c r="P135" t="s">
        <v>24</v>
      </c>
      <c r="Q135">
        <v>53</v>
      </c>
      <c r="R135" s="2">
        <v>265880</v>
      </c>
    </row>
    <row r="136" spans="1:18" x14ac:dyDescent="0.35">
      <c r="A136" t="s">
        <v>41</v>
      </c>
      <c r="B136" t="s">
        <v>42</v>
      </c>
      <c r="C136" t="s">
        <v>20</v>
      </c>
      <c r="D136" t="s">
        <v>31</v>
      </c>
      <c r="E136" t="s">
        <v>47</v>
      </c>
      <c r="F136" t="s">
        <v>23</v>
      </c>
      <c r="G136" s="1">
        <v>45306</v>
      </c>
      <c r="H136">
        <v>78</v>
      </c>
      <c r="I136">
        <v>28</v>
      </c>
      <c r="J136">
        <v>21</v>
      </c>
      <c r="K136">
        <v>71</v>
      </c>
      <c r="L136">
        <v>86</v>
      </c>
      <c r="M136">
        <v>892</v>
      </c>
      <c r="N136">
        <v>8</v>
      </c>
      <c r="O136">
        <v>10</v>
      </c>
      <c r="P136" t="s">
        <v>36</v>
      </c>
      <c r="Q136">
        <v>12</v>
      </c>
      <c r="R136" s="2">
        <v>63332</v>
      </c>
    </row>
    <row r="137" spans="1:18" x14ac:dyDescent="0.35">
      <c r="A137" t="s">
        <v>18</v>
      </c>
      <c r="B137" t="s">
        <v>19</v>
      </c>
      <c r="C137" t="s">
        <v>20</v>
      </c>
      <c r="D137" t="s">
        <v>39</v>
      </c>
      <c r="E137" t="s">
        <v>40</v>
      </c>
      <c r="F137" t="s">
        <v>30</v>
      </c>
      <c r="G137" s="1">
        <v>45307</v>
      </c>
      <c r="H137">
        <v>211</v>
      </c>
      <c r="I137">
        <v>26</v>
      </c>
      <c r="J137">
        <v>76</v>
      </c>
      <c r="K137">
        <v>261</v>
      </c>
      <c r="L137">
        <v>86</v>
      </c>
      <c r="M137">
        <v>1134</v>
      </c>
      <c r="N137">
        <v>13</v>
      </c>
      <c r="O137">
        <v>5</v>
      </c>
      <c r="P137" t="s">
        <v>24</v>
      </c>
      <c r="Q137">
        <v>29</v>
      </c>
      <c r="R137" s="2">
        <v>295974</v>
      </c>
    </row>
    <row r="138" spans="1:18" x14ac:dyDescent="0.35">
      <c r="A138" t="s">
        <v>41</v>
      </c>
      <c r="B138" t="s">
        <v>42</v>
      </c>
      <c r="C138" t="s">
        <v>20</v>
      </c>
      <c r="D138" t="s">
        <v>21</v>
      </c>
      <c r="E138" t="s">
        <v>22</v>
      </c>
      <c r="F138" t="s">
        <v>33</v>
      </c>
      <c r="G138" s="1">
        <v>45308</v>
      </c>
      <c r="H138">
        <v>236</v>
      </c>
      <c r="I138">
        <v>6</v>
      </c>
      <c r="J138">
        <v>53</v>
      </c>
      <c r="K138">
        <v>283</v>
      </c>
      <c r="L138">
        <v>47</v>
      </c>
      <c r="M138">
        <v>518</v>
      </c>
      <c r="N138">
        <v>14</v>
      </c>
      <c r="O138">
        <v>9</v>
      </c>
      <c r="P138" t="s">
        <v>24</v>
      </c>
      <c r="Q138">
        <v>63</v>
      </c>
      <c r="R138" s="2">
        <v>146594</v>
      </c>
    </row>
    <row r="139" spans="1:18" x14ac:dyDescent="0.35">
      <c r="A139" t="s">
        <v>34</v>
      </c>
      <c r="B139" t="s">
        <v>35</v>
      </c>
      <c r="C139" t="s">
        <v>20</v>
      </c>
      <c r="D139" t="s">
        <v>43</v>
      </c>
      <c r="E139" t="s">
        <v>44</v>
      </c>
      <c r="F139" t="s">
        <v>33</v>
      </c>
      <c r="G139" s="1">
        <v>45309</v>
      </c>
      <c r="H139">
        <v>83</v>
      </c>
      <c r="I139">
        <v>38</v>
      </c>
      <c r="J139">
        <v>70</v>
      </c>
      <c r="K139">
        <v>115</v>
      </c>
      <c r="L139">
        <v>64</v>
      </c>
      <c r="M139">
        <v>983</v>
      </c>
      <c r="N139">
        <v>14</v>
      </c>
      <c r="O139">
        <v>10</v>
      </c>
      <c r="P139" t="s">
        <v>24</v>
      </c>
      <c r="Q139">
        <v>57</v>
      </c>
      <c r="R139" s="2">
        <v>113045</v>
      </c>
    </row>
    <row r="140" spans="1:18" x14ac:dyDescent="0.35">
      <c r="A140" t="s">
        <v>25</v>
      </c>
      <c r="B140" t="s">
        <v>26</v>
      </c>
      <c r="C140" t="s">
        <v>20</v>
      </c>
      <c r="D140" t="s">
        <v>31</v>
      </c>
      <c r="E140" t="s">
        <v>47</v>
      </c>
      <c r="F140" t="s">
        <v>33</v>
      </c>
      <c r="G140" s="1">
        <v>45310</v>
      </c>
      <c r="H140">
        <v>216</v>
      </c>
      <c r="I140">
        <v>11</v>
      </c>
      <c r="J140">
        <v>45</v>
      </c>
      <c r="K140">
        <v>250</v>
      </c>
      <c r="L140">
        <v>83</v>
      </c>
      <c r="M140">
        <v>1022</v>
      </c>
      <c r="N140">
        <v>3</v>
      </c>
      <c r="O140">
        <v>0</v>
      </c>
      <c r="P140" t="s">
        <v>24</v>
      </c>
      <c r="Q140">
        <v>32</v>
      </c>
      <c r="R140" s="2">
        <v>255500</v>
      </c>
    </row>
    <row r="141" spans="1:18" x14ac:dyDescent="0.35">
      <c r="A141" t="s">
        <v>41</v>
      </c>
      <c r="B141" t="s">
        <v>42</v>
      </c>
      <c r="C141" t="s">
        <v>20</v>
      </c>
      <c r="D141" t="s">
        <v>39</v>
      </c>
      <c r="E141" t="s">
        <v>45</v>
      </c>
      <c r="F141" t="s">
        <v>23</v>
      </c>
      <c r="G141" s="1">
        <v>45311</v>
      </c>
      <c r="H141">
        <v>100</v>
      </c>
      <c r="I141">
        <v>51</v>
      </c>
      <c r="J141">
        <v>59</v>
      </c>
      <c r="K141">
        <v>108</v>
      </c>
      <c r="L141">
        <v>95</v>
      </c>
      <c r="M141">
        <v>100</v>
      </c>
      <c r="N141">
        <v>14</v>
      </c>
      <c r="O141">
        <v>6</v>
      </c>
      <c r="P141" t="s">
        <v>24</v>
      </c>
      <c r="Q141">
        <v>32</v>
      </c>
      <c r="R141" s="2">
        <v>10800</v>
      </c>
    </row>
    <row r="142" spans="1:18" x14ac:dyDescent="0.35">
      <c r="A142" t="s">
        <v>28</v>
      </c>
      <c r="B142" t="s">
        <v>29</v>
      </c>
      <c r="C142" t="s">
        <v>20</v>
      </c>
      <c r="D142" t="s">
        <v>21</v>
      </c>
      <c r="E142" t="s">
        <v>27</v>
      </c>
      <c r="F142" t="s">
        <v>33</v>
      </c>
      <c r="G142" s="1">
        <v>45312</v>
      </c>
      <c r="H142">
        <v>193</v>
      </c>
      <c r="I142">
        <v>39</v>
      </c>
      <c r="J142">
        <v>59</v>
      </c>
      <c r="K142">
        <v>213</v>
      </c>
      <c r="L142">
        <v>96</v>
      </c>
      <c r="M142">
        <v>1268</v>
      </c>
      <c r="N142">
        <v>11</v>
      </c>
      <c r="O142">
        <v>2</v>
      </c>
      <c r="P142" t="s">
        <v>24</v>
      </c>
      <c r="Q142">
        <v>68</v>
      </c>
      <c r="R142" s="2">
        <v>270084</v>
      </c>
    </row>
    <row r="143" spans="1:18" x14ac:dyDescent="0.35">
      <c r="A143" t="s">
        <v>25</v>
      </c>
      <c r="B143" t="s">
        <v>26</v>
      </c>
      <c r="C143" t="s">
        <v>20</v>
      </c>
      <c r="D143" t="s">
        <v>31</v>
      </c>
      <c r="E143" t="s">
        <v>47</v>
      </c>
      <c r="F143" t="s">
        <v>23</v>
      </c>
      <c r="G143" s="1">
        <v>45313</v>
      </c>
      <c r="H143">
        <v>79</v>
      </c>
      <c r="I143">
        <v>44</v>
      </c>
      <c r="J143">
        <v>29</v>
      </c>
      <c r="K143">
        <v>64</v>
      </c>
      <c r="L143">
        <v>91</v>
      </c>
      <c r="M143">
        <v>714</v>
      </c>
      <c r="N143">
        <v>14</v>
      </c>
      <c r="O143">
        <v>10</v>
      </c>
      <c r="P143" t="s">
        <v>36</v>
      </c>
      <c r="Q143">
        <v>36</v>
      </c>
      <c r="R143" s="2">
        <v>45696</v>
      </c>
    </row>
    <row r="144" spans="1:18" x14ac:dyDescent="0.35">
      <c r="A144" t="s">
        <v>25</v>
      </c>
      <c r="B144" t="s">
        <v>26</v>
      </c>
      <c r="C144" t="s">
        <v>20</v>
      </c>
      <c r="D144" t="s">
        <v>37</v>
      </c>
      <c r="E144" t="s">
        <v>46</v>
      </c>
      <c r="F144" t="s">
        <v>23</v>
      </c>
      <c r="G144" s="1">
        <v>45314</v>
      </c>
      <c r="H144">
        <v>265</v>
      </c>
      <c r="I144">
        <v>32</v>
      </c>
      <c r="J144">
        <v>60</v>
      </c>
      <c r="K144">
        <v>293</v>
      </c>
      <c r="L144">
        <v>41</v>
      </c>
      <c r="M144">
        <v>1087</v>
      </c>
      <c r="N144">
        <v>8</v>
      </c>
      <c r="O144">
        <v>8</v>
      </c>
      <c r="P144" t="s">
        <v>24</v>
      </c>
      <c r="Q144">
        <v>10</v>
      </c>
      <c r="R144" s="2">
        <v>318491</v>
      </c>
    </row>
    <row r="145" spans="1:18" x14ac:dyDescent="0.35">
      <c r="A145" t="s">
        <v>25</v>
      </c>
      <c r="B145" t="s">
        <v>26</v>
      </c>
      <c r="C145" t="s">
        <v>20</v>
      </c>
      <c r="D145" t="s">
        <v>21</v>
      </c>
      <c r="E145" t="s">
        <v>22</v>
      </c>
      <c r="F145" t="s">
        <v>23</v>
      </c>
      <c r="G145" s="1">
        <v>45315</v>
      </c>
      <c r="H145">
        <v>233</v>
      </c>
      <c r="I145">
        <v>26</v>
      </c>
      <c r="J145">
        <v>79</v>
      </c>
      <c r="K145">
        <v>286</v>
      </c>
      <c r="L145">
        <v>55</v>
      </c>
      <c r="M145">
        <v>125</v>
      </c>
      <c r="N145">
        <v>13</v>
      </c>
      <c r="O145">
        <v>4</v>
      </c>
      <c r="P145" t="s">
        <v>24</v>
      </c>
      <c r="Q145">
        <v>69</v>
      </c>
      <c r="R145" s="2">
        <v>35750</v>
      </c>
    </row>
    <row r="146" spans="1:18" x14ac:dyDescent="0.35">
      <c r="A146" t="s">
        <v>34</v>
      </c>
      <c r="B146" t="s">
        <v>35</v>
      </c>
      <c r="C146" t="s">
        <v>20</v>
      </c>
      <c r="D146" t="s">
        <v>21</v>
      </c>
      <c r="E146" t="s">
        <v>22</v>
      </c>
      <c r="F146" t="s">
        <v>33</v>
      </c>
      <c r="G146" s="1">
        <v>45316</v>
      </c>
      <c r="H146">
        <v>150</v>
      </c>
      <c r="I146">
        <v>14</v>
      </c>
      <c r="J146">
        <v>74</v>
      </c>
      <c r="K146">
        <v>210</v>
      </c>
      <c r="L146">
        <v>49</v>
      </c>
      <c r="M146">
        <v>229</v>
      </c>
      <c r="N146">
        <v>10</v>
      </c>
      <c r="O146">
        <v>1</v>
      </c>
      <c r="P146" t="s">
        <v>24</v>
      </c>
      <c r="Q146">
        <v>26</v>
      </c>
      <c r="R146" s="2">
        <v>48090</v>
      </c>
    </row>
    <row r="147" spans="1:18" x14ac:dyDescent="0.35">
      <c r="A147" t="s">
        <v>34</v>
      </c>
      <c r="B147" t="s">
        <v>35</v>
      </c>
      <c r="C147" t="s">
        <v>20</v>
      </c>
      <c r="D147" t="s">
        <v>39</v>
      </c>
      <c r="E147" t="s">
        <v>40</v>
      </c>
      <c r="F147" t="s">
        <v>23</v>
      </c>
      <c r="G147" s="1">
        <v>45317</v>
      </c>
      <c r="H147">
        <v>69</v>
      </c>
      <c r="I147">
        <v>38</v>
      </c>
      <c r="J147">
        <v>7</v>
      </c>
      <c r="K147">
        <v>38</v>
      </c>
      <c r="L147">
        <v>63</v>
      </c>
      <c r="M147">
        <v>843</v>
      </c>
      <c r="N147">
        <v>5</v>
      </c>
      <c r="O147">
        <v>9</v>
      </c>
      <c r="P147" t="s">
        <v>36</v>
      </c>
      <c r="Q147">
        <v>58</v>
      </c>
      <c r="R147" s="2">
        <v>32034</v>
      </c>
    </row>
    <row r="148" spans="1:18" x14ac:dyDescent="0.35">
      <c r="A148" t="s">
        <v>41</v>
      </c>
      <c r="B148" t="s">
        <v>42</v>
      </c>
      <c r="C148" t="s">
        <v>20</v>
      </c>
      <c r="D148" t="s">
        <v>31</v>
      </c>
      <c r="E148" t="s">
        <v>32</v>
      </c>
      <c r="F148" t="s">
        <v>23</v>
      </c>
      <c r="G148" s="1">
        <v>45318</v>
      </c>
      <c r="H148">
        <v>79</v>
      </c>
      <c r="I148">
        <v>44</v>
      </c>
      <c r="J148">
        <v>71</v>
      </c>
      <c r="K148">
        <v>106</v>
      </c>
      <c r="L148">
        <v>60</v>
      </c>
      <c r="M148">
        <v>1485</v>
      </c>
      <c r="N148">
        <v>15</v>
      </c>
      <c r="O148">
        <v>9</v>
      </c>
      <c r="P148" t="s">
        <v>24</v>
      </c>
      <c r="Q148">
        <v>12</v>
      </c>
      <c r="R148" s="2">
        <v>157410</v>
      </c>
    </row>
    <row r="149" spans="1:18" x14ac:dyDescent="0.35">
      <c r="A149" t="s">
        <v>28</v>
      </c>
      <c r="B149" t="s">
        <v>29</v>
      </c>
      <c r="C149" t="s">
        <v>20</v>
      </c>
      <c r="D149" t="s">
        <v>21</v>
      </c>
      <c r="E149" t="s">
        <v>27</v>
      </c>
      <c r="F149" t="s">
        <v>23</v>
      </c>
      <c r="G149" s="1">
        <v>45319</v>
      </c>
      <c r="H149">
        <v>131</v>
      </c>
      <c r="I149">
        <v>27</v>
      </c>
      <c r="J149">
        <v>31</v>
      </c>
      <c r="K149">
        <v>135</v>
      </c>
      <c r="L149">
        <v>100</v>
      </c>
      <c r="M149">
        <v>722</v>
      </c>
      <c r="N149">
        <v>13</v>
      </c>
      <c r="O149">
        <v>8</v>
      </c>
      <c r="P149" t="s">
        <v>24</v>
      </c>
      <c r="Q149">
        <v>57</v>
      </c>
      <c r="R149" s="2">
        <v>97470</v>
      </c>
    </row>
    <row r="150" spans="1:18" x14ac:dyDescent="0.35">
      <c r="A150" t="s">
        <v>25</v>
      </c>
      <c r="B150" t="s">
        <v>26</v>
      </c>
      <c r="C150" t="s">
        <v>20</v>
      </c>
      <c r="D150" t="s">
        <v>37</v>
      </c>
      <c r="E150" t="s">
        <v>46</v>
      </c>
      <c r="F150" t="s">
        <v>33</v>
      </c>
      <c r="G150" s="1">
        <v>45320</v>
      </c>
      <c r="H150">
        <v>113</v>
      </c>
      <c r="I150">
        <v>54</v>
      </c>
      <c r="J150">
        <v>33</v>
      </c>
      <c r="K150">
        <v>92</v>
      </c>
      <c r="L150">
        <v>70</v>
      </c>
      <c r="M150">
        <v>301</v>
      </c>
      <c r="N150">
        <v>6</v>
      </c>
      <c r="O150">
        <v>0</v>
      </c>
      <c r="P150" t="s">
        <v>24</v>
      </c>
      <c r="Q150">
        <v>55</v>
      </c>
      <c r="R150" s="2">
        <v>27692</v>
      </c>
    </row>
    <row r="151" spans="1:18" x14ac:dyDescent="0.35">
      <c r="A151" t="s">
        <v>41</v>
      </c>
      <c r="B151" t="s">
        <v>42</v>
      </c>
      <c r="C151" t="s">
        <v>20</v>
      </c>
      <c r="D151" t="s">
        <v>21</v>
      </c>
      <c r="E151" t="s">
        <v>22</v>
      </c>
      <c r="F151" t="s">
        <v>30</v>
      </c>
      <c r="G151" s="1">
        <v>45321</v>
      </c>
      <c r="H151">
        <v>124</v>
      </c>
      <c r="I151">
        <v>26</v>
      </c>
      <c r="J151">
        <v>50</v>
      </c>
      <c r="K151">
        <v>148</v>
      </c>
      <c r="L151">
        <v>76</v>
      </c>
      <c r="M151">
        <v>1061</v>
      </c>
      <c r="N151">
        <v>8</v>
      </c>
      <c r="O151">
        <v>10</v>
      </c>
      <c r="P151" t="s">
        <v>24</v>
      </c>
      <c r="Q151">
        <v>25</v>
      </c>
      <c r="R151" s="2">
        <v>157028</v>
      </c>
    </row>
    <row r="152" spans="1:18" x14ac:dyDescent="0.35">
      <c r="A152" t="s">
        <v>18</v>
      </c>
      <c r="B152" t="s">
        <v>19</v>
      </c>
      <c r="C152" t="s">
        <v>20</v>
      </c>
      <c r="D152" t="s">
        <v>21</v>
      </c>
      <c r="E152" t="s">
        <v>22</v>
      </c>
      <c r="F152" t="s">
        <v>30</v>
      </c>
      <c r="G152" s="1">
        <v>45322</v>
      </c>
      <c r="H152">
        <v>166</v>
      </c>
      <c r="I152">
        <v>17</v>
      </c>
      <c r="J152">
        <v>48</v>
      </c>
      <c r="K152">
        <v>197</v>
      </c>
      <c r="L152">
        <v>67</v>
      </c>
      <c r="M152">
        <v>1048</v>
      </c>
      <c r="N152">
        <v>12</v>
      </c>
      <c r="O152">
        <v>10</v>
      </c>
      <c r="P152" t="s">
        <v>24</v>
      </c>
      <c r="Q152">
        <v>13</v>
      </c>
      <c r="R152" s="2">
        <v>206456</v>
      </c>
    </row>
    <row r="153" spans="1:18" x14ac:dyDescent="0.35">
      <c r="A153" t="s">
        <v>34</v>
      </c>
      <c r="B153" t="s">
        <v>35</v>
      </c>
      <c r="C153" t="s">
        <v>20</v>
      </c>
      <c r="D153" t="s">
        <v>37</v>
      </c>
      <c r="E153" t="s">
        <v>38</v>
      </c>
      <c r="F153" t="s">
        <v>30</v>
      </c>
      <c r="G153" s="1">
        <v>45323</v>
      </c>
      <c r="H153">
        <v>125</v>
      </c>
      <c r="I153">
        <v>14</v>
      </c>
      <c r="J153">
        <v>22</v>
      </c>
      <c r="K153">
        <v>133</v>
      </c>
      <c r="L153">
        <v>47</v>
      </c>
      <c r="M153">
        <v>1326</v>
      </c>
      <c r="N153">
        <v>8</v>
      </c>
      <c r="O153">
        <v>7</v>
      </c>
      <c r="P153" t="s">
        <v>24</v>
      </c>
      <c r="Q153">
        <v>61</v>
      </c>
      <c r="R153" s="2">
        <v>176358</v>
      </c>
    </row>
    <row r="154" spans="1:18" x14ac:dyDescent="0.35">
      <c r="A154" t="s">
        <v>41</v>
      </c>
      <c r="B154" t="s">
        <v>42</v>
      </c>
      <c r="C154" t="s">
        <v>20</v>
      </c>
      <c r="D154" t="s">
        <v>43</v>
      </c>
      <c r="E154" t="s">
        <v>48</v>
      </c>
      <c r="F154" t="s">
        <v>23</v>
      </c>
      <c r="G154" s="1">
        <v>45324</v>
      </c>
      <c r="H154">
        <v>115</v>
      </c>
      <c r="I154">
        <v>5</v>
      </c>
      <c r="J154">
        <v>36</v>
      </c>
      <c r="K154">
        <v>146</v>
      </c>
      <c r="L154">
        <v>79</v>
      </c>
      <c r="M154">
        <v>874</v>
      </c>
      <c r="N154">
        <v>14</v>
      </c>
      <c r="O154">
        <v>0</v>
      </c>
      <c r="P154" t="s">
        <v>24</v>
      </c>
      <c r="Q154">
        <v>27</v>
      </c>
      <c r="R154" s="2">
        <v>127604</v>
      </c>
    </row>
    <row r="155" spans="1:18" x14ac:dyDescent="0.35">
      <c r="A155" t="s">
        <v>28</v>
      </c>
      <c r="B155" t="s">
        <v>29</v>
      </c>
      <c r="C155" t="s">
        <v>20</v>
      </c>
      <c r="D155" t="s">
        <v>43</v>
      </c>
      <c r="E155" t="s">
        <v>44</v>
      </c>
      <c r="F155" t="s">
        <v>30</v>
      </c>
      <c r="G155" s="1">
        <v>45325</v>
      </c>
      <c r="H155">
        <v>274</v>
      </c>
      <c r="I155">
        <v>16</v>
      </c>
      <c r="J155">
        <v>36</v>
      </c>
      <c r="K155">
        <v>294</v>
      </c>
      <c r="L155">
        <v>76</v>
      </c>
      <c r="M155">
        <v>867</v>
      </c>
      <c r="N155">
        <v>9</v>
      </c>
      <c r="O155">
        <v>9</v>
      </c>
      <c r="P155" t="s">
        <v>24</v>
      </c>
      <c r="Q155">
        <v>38</v>
      </c>
      <c r="R155" s="2">
        <v>254898</v>
      </c>
    </row>
    <row r="156" spans="1:18" x14ac:dyDescent="0.35">
      <c r="A156" t="s">
        <v>34</v>
      </c>
      <c r="B156" t="s">
        <v>35</v>
      </c>
      <c r="C156" t="s">
        <v>20</v>
      </c>
      <c r="D156" t="s">
        <v>31</v>
      </c>
      <c r="E156" t="s">
        <v>47</v>
      </c>
      <c r="F156" t="s">
        <v>23</v>
      </c>
      <c r="G156" s="1">
        <v>45326</v>
      </c>
      <c r="H156">
        <v>210</v>
      </c>
      <c r="I156">
        <v>31</v>
      </c>
      <c r="J156">
        <v>56</v>
      </c>
      <c r="K156">
        <v>235</v>
      </c>
      <c r="L156">
        <v>69</v>
      </c>
      <c r="M156">
        <v>1048</v>
      </c>
      <c r="N156">
        <v>12</v>
      </c>
      <c r="O156">
        <v>10</v>
      </c>
      <c r="P156" t="s">
        <v>24</v>
      </c>
      <c r="Q156">
        <v>14</v>
      </c>
      <c r="R156" s="2">
        <v>246280</v>
      </c>
    </row>
    <row r="157" spans="1:18" x14ac:dyDescent="0.35">
      <c r="A157" t="s">
        <v>28</v>
      </c>
      <c r="B157" t="s">
        <v>29</v>
      </c>
      <c r="C157" t="s">
        <v>20</v>
      </c>
      <c r="D157" t="s">
        <v>21</v>
      </c>
      <c r="E157" t="s">
        <v>27</v>
      </c>
      <c r="F157" t="s">
        <v>33</v>
      </c>
      <c r="G157" s="1">
        <v>45327</v>
      </c>
      <c r="H157">
        <v>149</v>
      </c>
      <c r="I157">
        <v>9</v>
      </c>
      <c r="J157">
        <v>59</v>
      </c>
      <c r="K157">
        <v>199</v>
      </c>
      <c r="L157">
        <v>99</v>
      </c>
      <c r="M157">
        <v>189</v>
      </c>
      <c r="N157">
        <v>2</v>
      </c>
      <c r="O157">
        <v>5</v>
      </c>
      <c r="P157" t="s">
        <v>24</v>
      </c>
      <c r="Q157">
        <v>55</v>
      </c>
      <c r="R157" s="2">
        <v>37611</v>
      </c>
    </row>
    <row r="158" spans="1:18" x14ac:dyDescent="0.35">
      <c r="A158" t="s">
        <v>28</v>
      </c>
      <c r="B158" t="s">
        <v>29</v>
      </c>
      <c r="C158" t="s">
        <v>20</v>
      </c>
      <c r="D158" t="s">
        <v>31</v>
      </c>
      <c r="E158" t="s">
        <v>32</v>
      </c>
      <c r="F158" t="s">
        <v>23</v>
      </c>
      <c r="G158" s="1">
        <v>45328</v>
      </c>
      <c r="H158">
        <v>63</v>
      </c>
      <c r="I158">
        <v>58</v>
      </c>
      <c r="J158">
        <v>37</v>
      </c>
      <c r="K158">
        <v>42</v>
      </c>
      <c r="L158">
        <v>63</v>
      </c>
      <c r="M158">
        <v>1492</v>
      </c>
      <c r="N158">
        <v>15</v>
      </c>
      <c r="O158">
        <v>6</v>
      </c>
      <c r="P158" t="s">
        <v>36</v>
      </c>
      <c r="Q158">
        <v>27</v>
      </c>
      <c r="R158" s="2">
        <v>62664</v>
      </c>
    </row>
    <row r="159" spans="1:18" x14ac:dyDescent="0.35">
      <c r="A159" t="s">
        <v>25</v>
      </c>
      <c r="B159" t="s">
        <v>26</v>
      </c>
      <c r="C159" t="s">
        <v>20</v>
      </c>
      <c r="D159" t="s">
        <v>21</v>
      </c>
      <c r="E159" t="s">
        <v>27</v>
      </c>
      <c r="F159" t="s">
        <v>30</v>
      </c>
      <c r="G159" s="1">
        <v>45329</v>
      </c>
      <c r="H159">
        <v>197</v>
      </c>
      <c r="I159">
        <v>49</v>
      </c>
      <c r="J159">
        <v>43</v>
      </c>
      <c r="K159">
        <v>191</v>
      </c>
      <c r="L159">
        <v>60</v>
      </c>
      <c r="M159">
        <v>696</v>
      </c>
      <c r="N159">
        <v>2</v>
      </c>
      <c r="O159">
        <v>4</v>
      </c>
      <c r="P159" t="s">
        <v>24</v>
      </c>
      <c r="Q159">
        <v>57</v>
      </c>
      <c r="R159" s="2">
        <v>132936</v>
      </c>
    </row>
    <row r="160" spans="1:18" x14ac:dyDescent="0.35">
      <c r="A160" t="s">
        <v>18</v>
      </c>
      <c r="B160" t="s">
        <v>19</v>
      </c>
      <c r="C160" t="s">
        <v>20</v>
      </c>
      <c r="D160" t="s">
        <v>37</v>
      </c>
      <c r="E160" t="s">
        <v>38</v>
      </c>
      <c r="F160" t="s">
        <v>33</v>
      </c>
      <c r="G160" s="1">
        <v>45330</v>
      </c>
      <c r="H160">
        <v>112</v>
      </c>
      <c r="I160">
        <v>40</v>
      </c>
      <c r="J160">
        <v>16</v>
      </c>
      <c r="K160">
        <v>88</v>
      </c>
      <c r="L160">
        <v>99</v>
      </c>
      <c r="M160">
        <v>1493</v>
      </c>
      <c r="N160">
        <v>9</v>
      </c>
      <c r="O160">
        <v>9</v>
      </c>
      <c r="P160" t="s">
        <v>36</v>
      </c>
      <c r="Q160">
        <v>53</v>
      </c>
      <c r="R160" s="2">
        <v>131384</v>
      </c>
    </row>
    <row r="161" spans="1:18" x14ac:dyDescent="0.35">
      <c r="A161" t="s">
        <v>41</v>
      </c>
      <c r="B161" t="s">
        <v>42</v>
      </c>
      <c r="C161" t="s">
        <v>20</v>
      </c>
      <c r="D161" t="s">
        <v>31</v>
      </c>
      <c r="E161" t="s">
        <v>32</v>
      </c>
      <c r="F161" t="s">
        <v>30</v>
      </c>
      <c r="G161" s="1">
        <v>45331</v>
      </c>
      <c r="H161">
        <v>204</v>
      </c>
      <c r="I161">
        <v>50</v>
      </c>
      <c r="J161">
        <v>77</v>
      </c>
      <c r="K161">
        <v>231</v>
      </c>
      <c r="L161">
        <v>57</v>
      </c>
      <c r="M161">
        <v>441</v>
      </c>
      <c r="N161">
        <v>6</v>
      </c>
      <c r="O161">
        <v>8</v>
      </c>
      <c r="P161" t="s">
        <v>24</v>
      </c>
      <c r="Q161">
        <v>17</v>
      </c>
      <c r="R161" s="2">
        <v>101871</v>
      </c>
    </row>
    <row r="162" spans="1:18" x14ac:dyDescent="0.35">
      <c r="A162" t="s">
        <v>41</v>
      </c>
      <c r="B162" t="s">
        <v>42</v>
      </c>
      <c r="C162" t="s">
        <v>20</v>
      </c>
      <c r="D162" t="s">
        <v>31</v>
      </c>
      <c r="E162" t="s">
        <v>47</v>
      </c>
      <c r="F162" t="s">
        <v>23</v>
      </c>
      <c r="G162" s="1">
        <v>45332</v>
      </c>
      <c r="H162">
        <v>196</v>
      </c>
      <c r="I162">
        <v>11</v>
      </c>
      <c r="J162">
        <v>78</v>
      </c>
      <c r="K162">
        <v>263</v>
      </c>
      <c r="L162">
        <v>82</v>
      </c>
      <c r="M162">
        <v>483</v>
      </c>
      <c r="N162">
        <v>12</v>
      </c>
      <c r="O162">
        <v>3</v>
      </c>
      <c r="P162" t="s">
        <v>24</v>
      </c>
      <c r="Q162">
        <v>14</v>
      </c>
      <c r="R162" s="2">
        <v>127029</v>
      </c>
    </row>
    <row r="163" spans="1:18" x14ac:dyDescent="0.35">
      <c r="A163" t="s">
        <v>28</v>
      </c>
      <c r="B163" t="s">
        <v>29</v>
      </c>
      <c r="C163" t="s">
        <v>20</v>
      </c>
      <c r="D163" t="s">
        <v>43</v>
      </c>
      <c r="E163" t="s">
        <v>48</v>
      </c>
      <c r="F163" t="s">
        <v>23</v>
      </c>
      <c r="G163" s="1">
        <v>45333</v>
      </c>
      <c r="H163">
        <v>228</v>
      </c>
      <c r="I163">
        <v>49</v>
      </c>
      <c r="J163">
        <v>73</v>
      </c>
      <c r="K163">
        <v>252</v>
      </c>
      <c r="L163">
        <v>86</v>
      </c>
      <c r="M163">
        <v>600</v>
      </c>
      <c r="N163">
        <v>8</v>
      </c>
      <c r="O163">
        <v>5</v>
      </c>
      <c r="P163" t="s">
        <v>24</v>
      </c>
      <c r="Q163">
        <v>10</v>
      </c>
      <c r="R163" s="2">
        <v>151200</v>
      </c>
    </row>
    <row r="164" spans="1:18" x14ac:dyDescent="0.35">
      <c r="A164" t="s">
        <v>25</v>
      </c>
      <c r="B164" t="s">
        <v>26</v>
      </c>
      <c r="C164" t="s">
        <v>20</v>
      </c>
      <c r="D164" t="s">
        <v>37</v>
      </c>
      <c r="E164" t="s">
        <v>38</v>
      </c>
      <c r="F164" t="s">
        <v>30</v>
      </c>
      <c r="G164" s="1">
        <v>45334</v>
      </c>
      <c r="H164">
        <v>215</v>
      </c>
      <c r="I164">
        <v>28</v>
      </c>
      <c r="J164">
        <v>66</v>
      </c>
      <c r="K164">
        <v>253</v>
      </c>
      <c r="L164">
        <v>89</v>
      </c>
      <c r="M164">
        <v>1152</v>
      </c>
      <c r="N164">
        <v>8</v>
      </c>
      <c r="O164">
        <v>5</v>
      </c>
      <c r="P164" t="s">
        <v>24</v>
      </c>
      <c r="Q164">
        <v>52</v>
      </c>
      <c r="R164" s="2">
        <v>291456</v>
      </c>
    </row>
    <row r="165" spans="1:18" x14ac:dyDescent="0.35">
      <c r="A165" t="s">
        <v>25</v>
      </c>
      <c r="B165" t="s">
        <v>26</v>
      </c>
      <c r="C165" t="s">
        <v>20</v>
      </c>
      <c r="D165" t="s">
        <v>37</v>
      </c>
      <c r="E165" t="s">
        <v>38</v>
      </c>
      <c r="F165" t="s">
        <v>23</v>
      </c>
      <c r="G165" s="1">
        <v>45335</v>
      </c>
      <c r="H165">
        <v>66</v>
      </c>
      <c r="I165">
        <v>19</v>
      </c>
      <c r="J165">
        <v>7</v>
      </c>
      <c r="K165">
        <v>54</v>
      </c>
      <c r="L165">
        <v>41</v>
      </c>
      <c r="M165">
        <v>166</v>
      </c>
      <c r="N165">
        <v>10</v>
      </c>
      <c r="O165">
        <v>9</v>
      </c>
      <c r="P165" t="s">
        <v>24</v>
      </c>
      <c r="Q165">
        <v>39</v>
      </c>
      <c r="R165" s="2">
        <v>8964</v>
      </c>
    </row>
    <row r="166" spans="1:18" x14ac:dyDescent="0.35">
      <c r="A166" t="s">
        <v>41</v>
      </c>
      <c r="B166" t="s">
        <v>42</v>
      </c>
      <c r="C166" t="s">
        <v>20</v>
      </c>
      <c r="D166" t="s">
        <v>43</v>
      </c>
      <c r="E166" t="s">
        <v>48</v>
      </c>
      <c r="F166" t="s">
        <v>23</v>
      </c>
      <c r="G166" s="1">
        <v>45336</v>
      </c>
      <c r="H166">
        <v>131</v>
      </c>
      <c r="I166">
        <v>15</v>
      </c>
      <c r="J166">
        <v>0</v>
      </c>
      <c r="K166">
        <v>116</v>
      </c>
      <c r="L166">
        <v>50</v>
      </c>
      <c r="M166">
        <v>1084</v>
      </c>
      <c r="N166">
        <v>2</v>
      </c>
      <c r="O166">
        <v>3</v>
      </c>
      <c r="P166" t="s">
        <v>24</v>
      </c>
      <c r="Q166">
        <v>67</v>
      </c>
      <c r="R166" s="2">
        <v>125744</v>
      </c>
    </row>
    <row r="167" spans="1:18" x14ac:dyDescent="0.35">
      <c r="A167" t="s">
        <v>18</v>
      </c>
      <c r="B167" t="s">
        <v>19</v>
      </c>
      <c r="C167" t="s">
        <v>20</v>
      </c>
      <c r="D167" t="s">
        <v>37</v>
      </c>
      <c r="E167" t="s">
        <v>46</v>
      </c>
      <c r="F167" t="s">
        <v>23</v>
      </c>
      <c r="G167" s="1">
        <v>45337</v>
      </c>
      <c r="H167">
        <v>234</v>
      </c>
      <c r="I167">
        <v>35</v>
      </c>
      <c r="J167">
        <v>64</v>
      </c>
      <c r="K167">
        <v>263</v>
      </c>
      <c r="L167">
        <v>94</v>
      </c>
      <c r="M167">
        <v>712</v>
      </c>
      <c r="N167">
        <v>6</v>
      </c>
      <c r="O167">
        <v>5</v>
      </c>
      <c r="P167" t="s">
        <v>24</v>
      </c>
      <c r="Q167">
        <v>53</v>
      </c>
      <c r="R167" s="2">
        <v>187256</v>
      </c>
    </row>
    <row r="168" spans="1:18" x14ac:dyDescent="0.35">
      <c r="A168" t="s">
        <v>25</v>
      </c>
      <c r="B168" t="s">
        <v>26</v>
      </c>
      <c r="C168" t="s">
        <v>20</v>
      </c>
      <c r="D168" t="s">
        <v>37</v>
      </c>
      <c r="E168" t="s">
        <v>46</v>
      </c>
      <c r="F168" t="s">
        <v>23</v>
      </c>
      <c r="G168" s="1">
        <v>45338</v>
      </c>
      <c r="H168">
        <v>51</v>
      </c>
      <c r="I168">
        <v>36</v>
      </c>
      <c r="J168">
        <v>59</v>
      </c>
      <c r="K168">
        <v>74</v>
      </c>
      <c r="L168">
        <v>43</v>
      </c>
      <c r="M168">
        <v>938</v>
      </c>
      <c r="N168">
        <v>10</v>
      </c>
      <c r="O168">
        <v>9</v>
      </c>
      <c r="P168" t="s">
        <v>24</v>
      </c>
      <c r="Q168">
        <v>21</v>
      </c>
      <c r="R168" s="2">
        <v>69412</v>
      </c>
    </row>
    <row r="169" spans="1:18" x14ac:dyDescent="0.35">
      <c r="A169" t="s">
        <v>28</v>
      </c>
      <c r="B169" t="s">
        <v>29</v>
      </c>
      <c r="C169" t="s">
        <v>20</v>
      </c>
      <c r="D169" t="s">
        <v>31</v>
      </c>
      <c r="E169" t="s">
        <v>32</v>
      </c>
      <c r="F169" t="s">
        <v>30</v>
      </c>
      <c r="G169" s="1">
        <v>45339</v>
      </c>
      <c r="H169">
        <v>226</v>
      </c>
      <c r="I169">
        <v>27</v>
      </c>
      <c r="J169">
        <v>6</v>
      </c>
      <c r="K169">
        <v>205</v>
      </c>
      <c r="L169">
        <v>43</v>
      </c>
      <c r="M169">
        <v>472</v>
      </c>
      <c r="N169">
        <v>12</v>
      </c>
      <c r="O169">
        <v>0</v>
      </c>
      <c r="P169" t="s">
        <v>24</v>
      </c>
      <c r="Q169">
        <v>55</v>
      </c>
      <c r="R169" s="2">
        <v>96760</v>
      </c>
    </row>
    <row r="170" spans="1:18" x14ac:dyDescent="0.35">
      <c r="A170" t="s">
        <v>28</v>
      </c>
      <c r="B170" t="s">
        <v>29</v>
      </c>
      <c r="C170" t="s">
        <v>20</v>
      </c>
      <c r="D170" t="s">
        <v>37</v>
      </c>
      <c r="E170" t="s">
        <v>46</v>
      </c>
      <c r="F170" t="s">
        <v>23</v>
      </c>
      <c r="G170" s="1">
        <v>45340</v>
      </c>
      <c r="H170">
        <v>226</v>
      </c>
      <c r="I170">
        <v>46</v>
      </c>
      <c r="J170">
        <v>51</v>
      </c>
      <c r="K170">
        <v>231</v>
      </c>
      <c r="L170">
        <v>99</v>
      </c>
      <c r="M170">
        <v>927</v>
      </c>
      <c r="N170">
        <v>6</v>
      </c>
      <c r="O170">
        <v>6</v>
      </c>
      <c r="P170" t="s">
        <v>24</v>
      </c>
      <c r="Q170">
        <v>55</v>
      </c>
      <c r="R170" s="2">
        <v>214137</v>
      </c>
    </row>
    <row r="171" spans="1:18" x14ac:dyDescent="0.35">
      <c r="A171" t="s">
        <v>28</v>
      </c>
      <c r="B171" t="s">
        <v>29</v>
      </c>
      <c r="C171" t="s">
        <v>20</v>
      </c>
      <c r="D171" t="s">
        <v>43</v>
      </c>
      <c r="E171" t="s">
        <v>48</v>
      </c>
      <c r="F171" t="s">
        <v>23</v>
      </c>
      <c r="G171" s="1">
        <v>45341</v>
      </c>
      <c r="H171">
        <v>136</v>
      </c>
      <c r="I171">
        <v>39</v>
      </c>
      <c r="J171">
        <v>46</v>
      </c>
      <c r="K171">
        <v>143</v>
      </c>
      <c r="L171">
        <v>43</v>
      </c>
      <c r="M171">
        <v>940</v>
      </c>
      <c r="N171">
        <v>5</v>
      </c>
      <c r="O171">
        <v>6</v>
      </c>
      <c r="P171" t="s">
        <v>24</v>
      </c>
      <c r="Q171">
        <v>21</v>
      </c>
      <c r="R171" s="2">
        <v>134420</v>
      </c>
    </row>
    <row r="172" spans="1:18" x14ac:dyDescent="0.35">
      <c r="A172" t="s">
        <v>34</v>
      </c>
      <c r="B172" t="s">
        <v>35</v>
      </c>
      <c r="C172" t="s">
        <v>20</v>
      </c>
      <c r="D172" t="s">
        <v>39</v>
      </c>
      <c r="E172" t="s">
        <v>40</v>
      </c>
      <c r="F172" t="s">
        <v>33</v>
      </c>
      <c r="G172" s="1">
        <v>45342</v>
      </c>
      <c r="H172">
        <v>254</v>
      </c>
      <c r="I172">
        <v>39</v>
      </c>
      <c r="J172">
        <v>33</v>
      </c>
      <c r="K172">
        <v>248</v>
      </c>
      <c r="L172">
        <v>66</v>
      </c>
      <c r="M172">
        <v>1450</v>
      </c>
      <c r="N172">
        <v>14</v>
      </c>
      <c r="O172">
        <v>7</v>
      </c>
      <c r="P172" t="s">
        <v>24</v>
      </c>
      <c r="Q172">
        <v>10</v>
      </c>
      <c r="R172" s="2">
        <v>359600</v>
      </c>
    </row>
    <row r="173" spans="1:18" x14ac:dyDescent="0.35">
      <c r="A173" t="s">
        <v>18</v>
      </c>
      <c r="B173" t="s">
        <v>19</v>
      </c>
      <c r="C173" t="s">
        <v>20</v>
      </c>
      <c r="D173" t="s">
        <v>39</v>
      </c>
      <c r="E173" t="s">
        <v>40</v>
      </c>
      <c r="F173" t="s">
        <v>33</v>
      </c>
      <c r="G173" s="1">
        <v>45343</v>
      </c>
      <c r="H173">
        <v>211</v>
      </c>
      <c r="I173">
        <v>24</v>
      </c>
      <c r="J173">
        <v>74</v>
      </c>
      <c r="K173">
        <v>261</v>
      </c>
      <c r="L173">
        <v>44</v>
      </c>
      <c r="M173">
        <v>660</v>
      </c>
      <c r="N173">
        <v>8</v>
      </c>
      <c r="O173">
        <v>3</v>
      </c>
      <c r="P173" t="s">
        <v>24</v>
      </c>
      <c r="Q173">
        <v>49</v>
      </c>
      <c r="R173" s="2">
        <v>172260</v>
      </c>
    </row>
    <row r="174" spans="1:18" x14ac:dyDescent="0.35">
      <c r="A174" t="s">
        <v>28</v>
      </c>
      <c r="B174" t="s">
        <v>29</v>
      </c>
      <c r="C174" t="s">
        <v>20</v>
      </c>
      <c r="D174" t="s">
        <v>39</v>
      </c>
      <c r="E174" t="s">
        <v>45</v>
      </c>
      <c r="F174" t="s">
        <v>23</v>
      </c>
      <c r="G174" s="1">
        <v>45344</v>
      </c>
      <c r="H174">
        <v>99</v>
      </c>
      <c r="I174">
        <v>25</v>
      </c>
      <c r="J174">
        <v>1</v>
      </c>
      <c r="K174">
        <v>75</v>
      </c>
      <c r="L174">
        <v>82</v>
      </c>
      <c r="M174">
        <v>1046</v>
      </c>
      <c r="N174">
        <v>12</v>
      </c>
      <c r="O174">
        <v>6</v>
      </c>
      <c r="P174" t="s">
        <v>36</v>
      </c>
      <c r="Q174">
        <v>55</v>
      </c>
      <c r="R174" s="2">
        <v>78450</v>
      </c>
    </row>
    <row r="175" spans="1:18" x14ac:dyDescent="0.35">
      <c r="A175" t="s">
        <v>28</v>
      </c>
      <c r="B175" t="s">
        <v>29</v>
      </c>
      <c r="C175" t="s">
        <v>20</v>
      </c>
      <c r="D175" t="s">
        <v>21</v>
      </c>
      <c r="E175" t="s">
        <v>22</v>
      </c>
      <c r="F175" t="s">
        <v>30</v>
      </c>
      <c r="G175" s="1">
        <v>45345</v>
      </c>
      <c r="H175">
        <v>191</v>
      </c>
      <c r="I175">
        <v>20</v>
      </c>
      <c r="J175">
        <v>38</v>
      </c>
      <c r="K175">
        <v>209</v>
      </c>
      <c r="L175">
        <v>62</v>
      </c>
      <c r="M175">
        <v>79</v>
      </c>
      <c r="N175">
        <v>4</v>
      </c>
      <c r="O175">
        <v>2</v>
      </c>
      <c r="P175" t="s">
        <v>24</v>
      </c>
      <c r="Q175">
        <v>19</v>
      </c>
      <c r="R175" s="2">
        <v>16511</v>
      </c>
    </row>
    <row r="176" spans="1:18" x14ac:dyDescent="0.35">
      <c r="A176" t="s">
        <v>18</v>
      </c>
      <c r="B176" t="s">
        <v>19</v>
      </c>
      <c r="C176" t="s">
        <v>20</v>
      </c>
      <c r="D176" t="s">
        <v>39</v>
      </c>
      <c r="E176" t="s">
        <v>45</v>
      </c>
      <c r="F176" t="s">
        <v>23</v>
      </c>
      <c r="G176" s="1">
        <v>45346</v>
      </c>
      <c r="H176">
        <v>107</v>
      </c>
      <c r="I176">
        <v>43</v>
      </c>
      <c r="J176">
        <v>27</v>
      </c>
      <c r="K176">
        <v>91</v>
      </c>
      <c r="L176">
        <v>65</v>
      </c>
      <c r="M176">
        <v>749</v>
      </c>
      <c r="N176">
        <v>14</v>
      </c>
      <c r="O176">
        <v>2</v>
      </c>
      <c r="P176" t="s">
        <v>24</v>
      </c>
      <c r="Q176">
        <v>38</v>
      </c>
      <c r="R176" s="2">
        <v>68159</v>
      </c>
    </row>
    <row r="177" spans="1:18" x14ac:dyDescent="0.35">
      <c r="A177" t="s">
        <v>25</v>
      </c>
      <c r="B177" t="s">
        <v>26</v>
      </c>
      <c r="C177" t="s">
        <v>20</v>
      </c>
      <c r="D177" t="s">
        <v>21</v>
      </c>
      <c r="E177" t="s">
        <v>27</v>
      </c>
      <c r="F177" t="s">
        <v>23</v>
      </c>
      <c r="G177" s="1">
        <v>45347</v>
      </c>
      <c r="H177">
        <v>178</v>
      </c>
      <c r="I177">
        <v>11</v>
      </c>
      <c r="J177">
        <v>16</v>
      </c>
      <c r="K177">
        <v>183</v>
      </c>
      <c r="L177">
        <v>68</v>
      </c>
      <c r="M177">
        <v>222</v>
      </c>
      <c r="N177">
        <v>10</v>
      </c>
      <c r="O177">
        <v>6</v>
      </c>
      <c r="P177" t="s">
        <v>24</v>
      </c>
      <c r="Q177">
        <v>29</v>
      </c>
      <c r="R177" s="2">
        <v>40626</v>
      </c>
    </row>
    <row r="178" spans="1:18" x14ac:dyDescent="0.35">
      <c r="A178" t="s">
        <v>41</v>
      </c>
      <c r="B178" t="s">
        <v>42</v>
      </c>
      <c r="C178" t="s">
        <v>20</v>
      </c>
      <c r="D178" t="s">
        <v>39</v>
      </c>
      <c r="E178" t="s">
        <v>40</v>
      </c>
      <c r="F178" t="s">
        <v>23</v>
      </c>
      <c r="G178" s="1">
        <v>45348</v>
      </c>
      <c r="H178">
        <v>185</v>
      </c>
      <c r="I178">
        <v>25</v>
      </c>
      <c r="J178">
        <v>27</v>
      </c>
      <c r="K178">
        <v>187</v>
      </c>
      <c r="L178">
        <v>57</v>
      </c>
      <c r="M178">
        <v>131</v>
      </c>
      <c r="N178">
        <v>10</v>
      </c>
      <c r="O178">
        <v>7</v>
      </c>
      <c r="P178" t="s">
        <v>24</v>
      </c>
      <c r="Q178">
        <v>37</v>
      </c>
      <c r="R178" s="2">
        <v>24497</v>
      </c>
    </row>
    <row r="179" spans="1:18" x14ac:dyDescent="0.35">
      <c r="A179" t="s">
        <v>34</v>
      </c>
      <c r="B179" t="s">
        <v>35</v>
      </c>
      <c r="C179" t="s">
        <v>20</v>
      </c>
      <c r="D179" t="s">
        <v>21</v>
      </c>
      <c r="E179" t="s">
        <v>22</v>
      </c>
      <c r="F179" t="s">
        <v>23</v>
      </c>
      <c r="G179" s="1">
        <v>45349</v>
      </c>
      <c r="H179">
        <v>126</v>
      </c>
      <c r="I179">
        <v>58</v>
      </c>
      <c r="J179">
        <v>65</v>
      </c>
      <c r="K179">
        <v>133</v>
      </c>
      <c r="L179">
        <v>41</v>
      </c>
      <c r="M179">
        <v>866</v>
      </c>
      <c r="N179">
        <v>5</v>
      </c>
      <c r="O179">
        <v>4</v>
      </c>
      <c r="P179" t="s">
        <v>24</v>
      </c>
      <c r="Q179">
        <v>57</v>
      </c>
      <c r="R179" s="2">
        <v>115178</v>
      </c>
    </row>
    <row r="180" spans="1:18" x14ac:dyDescent="0.35">
      <c r="A180" t="s">
        <v>25</v>
      </c>
      <c r="B180" t="s">
        <v>26</v>
      </c>
      <c r="C180" t="s">
        <v>20</v>
      </c>
      <c r="D180" t="s">
        <v>37</v>
      </c>
      <c r="E180" t="s">
        <v>38</v>
      </c>
      <c r="F180" t="s">
        <v>30</v>
      </c>
      <c r="G180" s="1">
        <v>45350</v>
      </c>
      <c r="H180">
        <v>56</v>
      </c>
      <c r="I180">
        <v>16</v>
      </c>
      <c r="J180">
        <v>30</v>
      </c>
      <c r="K180">
        <v>70</v>
      </c>
      <c r="L180">
        <v>47</v>
      </c>
      <c r="M180">
        <v>460</v>
      </c>
      <c r="N180">
        <v>5</v>
      </c>
      <c r="O180">
        <v>6</v>
      </c>
      <c r="P180" t="s">
        <v>24</v>
      </c>
      <c r="Q180">
        <v>37</v>
      </c>
      <c r="R180" s="2">
        <v>32200</v>
      </c>
    </row>
    <row r="181" spans="1:18" x14ac:dyDescent="0.35">
      <c r="A181" t="s">
        <v>41</v>
      </c>
      <c r="B181" t="s">
        <v>42</v>
      </c>
      <c r="C181" t="s">
        <v>20</v>
      </c>
      <c r="D181" t="s">
        <v>39</v>
      </c>
      <c r="E181" t="s">
        <v>45</v>
      </c>
      <c r="F181" t="s">
        <v>23</v>
      </c>
      <c r="G181" s="1">
        <v>45351</v>
      </c>
      <c r="H181">
        <v>111</v>
      </c>
      <c r="I181">
        <v>28</v>
      </c>
      <c r="J181">
        <v>28</v>
      </c>
      <c r="K181">
        <v>111</v>
      </c>
      <c r="L181">
        <v>99</v>
      </c>
      <c r="M181">
        <v>1033</v>
      </c>
      <c r="N181">
        <v>10</v>
      </c>
      <c r="O181">
        <v>6</v>
      </c>
      <c r="P181" t="s">
        <v>24</v>
      </c>
      <c r="Q181">
        <v>27</v>
      </c>
      <c r="R181" s="2">
        <v>114663</v>
      </c>
    </row>
    <row r="182" spans="1:18" x14ac:dyDescent="0.35">
      <c r="A182" t="s">
        <v>34</v>
      </c>
      <c r="B182" t="s">
        <v>35</v>
      </c>
      <c r="C182" t="s">
        <v>20</v>
      </c>
      <c r="D182" t="s">
        <v>21</v>
      </c>
      <c r="E182" t="s">
        <v>27</v>
      </c>
      <c r="F182" t="s">
        <v>33</v>
      </c>
      <c r="G182" s="1">
        <v>45352</v>
      </c>
      <c r="H182">
        <v>222</v>
      </c>
      <c r="I182">
        <v>25</v>
      </c>
      <c r="J182">
        <v>75</v>
      </c>
      <c r="K182">
        <v>272</v>
      </c>
      <c r="L182">
        <v>60</v>
      </c>
      <c r="M182">
        <v>1457</v>
      </c>
      <c r="N182">
        <v>9</v>
      </c>
      <c r="O182">
        <v>0</v>
      </c>
      <c r="P182" t="s">
        <v>24</v>
      </c>
      <c r="Q182">
        <v>24</v>
      </c>
      <c r="R182" s="2">
        <v>396304</v>
      </c>
    </row>
    <row r="183" spans="1:18" x14ac:dyDescent="0.35">
      <c r="A183" t="s">
        <v>34</v>
      </c>
      <c r="B183" t="s">
        <v>35</v>
      </c>
      <c r="C183" t="s">
        <v>20</v>
      </c>
      <c r="D183" t="s">
        <v>21</v>
      </c>
      <c r="E183" t="s">
        <v>27</v>
      </c>
      <c r="F183" t="s">
        <v>30</v>
      </c>
      <c r="G183" s="1">
        <v>45353</v>
      </c>
      <c r="H183">
        <v>123</v>
      </c>
      <c r="I183">
        <v>52</v>
      </c>
      <c r="J183">
        <v>26</v>
      </c>
      <c r="K183">
        <v>97</v>
      </c>
      <c r="L183">
        <v>96</v>
      </c>
      <c r="M183">
        <v>1451</v>
      </c>
      <c r="N183">
        <v>9</v>
      </c>
      <c r="O183">
        <v>8</v>
      </c>
      <c r="P183" t="s">
        <v>24</v>
      </c>
      <c r="Q183">
        <v>59</v>
      </c>
      <c r="R183" s="2">
        <v>140747</v>
      </c>
    </row>
    <row r="184" spans="1:18" x14ac:dyDescent="0.35">
      <c r="A184" t="s">
        <v>34</v>
      </c>
      <c r="B184" t="s">
        <v>35</v>
      </c>
      <c r="C184" t="s">
        <v>20</v>
      </c>
      <c r="D184" t="s">
        <v>31</v>
      </c>
      <c r="E184" t="s">
        <v>47</v>
      </c>
      <c r="F184" t="s">
        <v>30</v>
      </c>
      <c r="G184" s="1">
        <v>45354</v>
      </c>
      <c r="H184">
        <v>265</v>
      </c>
      <c r="I184">
        <v>12</v>
      </c>
      <c r="J184">
        <v>11</v>
      </c>
      <c r="K184">
        <v>264</v>
      </c>
      <c r="L184">
        <v>59</v>
      </c>
      <c r="M184">
        <v>1193</v>
      </c>
      <c r="N184">
        <v>4</v>
      </c>
      <c r="O184">
        <v>8</v>
      </c>
      <c r="P184" t="s">
        <v>24</v>
      </c>
      <c r="Q184">
        <v>40</v>
      </c>
      <c r="R184" s="2">
        <v>314952</v>
      </c>
    </row>
    <row r="185" spans="1:18" x14ac:dyDescent="0.35">
      <c r="A185" t="s">
        <v>28</v>
      </c>
      <c r="B185" t="s">
        <v>29</v>
      </c>
      <c r="C185" t="s">
        <v>20</v>
      </c>
      <c r="D185" t="s">
        <v>43</v>
      </c>
      <c r="E185" t="s">
        <v>44</v>
      </c>
      <c r="F185" t="s">
        <v>30</v>
      </c>
      <c r="G185" s="1">
        <v>45355</v>
      </c>
      <c r="H185">
        <v>187</v>
      </c>
      <c r="I185">
        <v>50</v>
      </c>
      <c r="J185">
        <v>24</v>
      </c>
      <c r="K185">
        <v>161</v>
      </c>
      <c r="L185">
        <v>40</v>
      </c>
      <c r="M185">
        <v>321</v>
      </c>
      <c r="N185">
        <v>7</v>
      </c>
      <c r="O185">
        <v>7</v>
      </c>
      <c r="P185" t="s">
        <v>24</v>
      </c>
      <c r="Q185">
        <v>29</v>
      </c>
      <c r="R185" s="2">
        <v>51681</v>
      </c>
    </row>
    <row r="186" spans="1:18" x14ac:dyDescent="0.35">
      <c r="A186" t="s">
        <v>28</v>
      </c>
      <c r="B186" t="s">
        <v>29</v>
      </c>
      <c r="C186" t="s">
        <v>20</v>
      </c>
      <c r="D186" t="s">
        <v>43</v>
      </c>
      <c r="E186" t="s">
        <v>48</v>
      </c>
      <c r="F186" t="s">
        <v>33</v>
      </c>
      <c r="G186" s="1">
        <v>45356</v>
      </c>
      <c r="H186">
        <v>116</v>
      </c>
      <c r="I186">
        <v>8</v>
      </c>
      <c r="J186">
        <v>17</v>
      </c>
      <c r="K186">
        <v>125</v>
      </c>
      <c r="L186">
        <v>64</v>
      </c>
      <c r="M186">
        <v>1055</v>
      </c>
      <c r="N186">
        <v>15</v>
      </c>
      <c r="O186">
        <v>3</v>
      </c>
      <c r="P186" t="s">
        <v>24</v>
      </c>
      <c r="Q186">
        <v>36</v>
      </c>
      <c r="R186" s="2">
        <v>131875</v>
      </c>
    </row>
    <row r="187" spans="1:18" x14ac:dyDescent="0.35">
      <c r="A187" t="s">
        <v>41</v>
      </c>
      <c r="B187" t="s">
        <v>42</v>
      </c>
      <c r="C187" t="s">
        <v>20</v>
      </c>
      <c r="D187" t="s">
        <v>37</v>
      </c>
      <c r="E187" t="s">
        <v>38</v>
      </c>
      <c r="F187" t="s">
        <v>30</v>
      </c>
      <c r="G187" s="1">
        <v>45357</v>
      </c>
      <c r="H187">
        <v>162</v>
      </c>
      <c r="I187">
        <v>26</v>
      </c>
      <c r="J187">
        <v>53</v>
      </c>
      <c r="K187">
        <v>189</v>
      </c>
      <c r="L187">
        <v>54</v>
      </c>
      <c r="M187">
        <v>1047</v>
      </c>
      <c r="N187">
        <v>5</v>
      </c>
      <c r="O187">
        <v>10</v>
      </c>
      <c r="P187" t="s">
        <v>24</v>
      </c>
      <c r="Q187">
        <v>70</v>
      </c>
      <c r="R187" s="2">
        <v>197883</v>
      </c>
    </row>
    <row r="188" spans="1:18" x14ac:dyDescent="0.35">
      <c r="A188" t="s">
        <v>18</v>
      </c>
      <c r="B188" t="s">
        <v>19</v>
      </c>
      <c r="C188" t="s">
        <v>20</v>
      </c>
      <c r="D188" t="s">
        <v>37</v>
      </c>
      <c r="E188" t="s">
        <v>38</v>
      </c>
      <c r="F188" t="s">
        <v>33</v>
      </c>
      <c r="G188" s="1">
        <v>45358</v>
      </c>
      <c r="H188">
        <v>213</v>
      </c>
      <c r="I188">
        <v>14</v>
      </c>
      <c r="J188">
        <v>11</v>
      </c>
      <c r="K188">
        <v>210</v>
      </c>
      <c r="L188">
        <v>68</v>
      </c>
      <c r="M188">
        <v>1390</v>
      </c>
      <c r="N188">
        <v>5</v>
      </c>
      <c r="O188">
        <v>1</v>
      </c>
      <c r="P188" t="s">
        <v>24</v>
      </c>
      <c r="Q188">
        <v>57</v>
      </c>
      <c r="R188" s="2">
        <v>291900</v>
      </c>
    </row>
    <row r="189" spans="1:18" x14ac:dyDescent="0.35">
      <c r="A189" t="s">
        <v>25</v>
      </c>
      <c r="B189" t="s">
        <v>26</v>
      </c>
      <c r="C189" t="s">
        <v>20</v>
      </c>
      <c r="D189" t="s">
        <v>37</v>
      </c>
      <c r="E189" t="s">
        <v>46</v>
      </c>
      <c r="F189" t="s">
        <v>23</v>
      </c>
      <c r="G189" s="1">
        <v>45359</v>
      </c>
      <c r="H189">
        <v>220</v>
      </c>
      <c r="I189">
        <v>42</v>
      </c>
      <c r="J189">
        <v>22</v>
      </c>
      <c r="K189">
        <v>200</v>
      </c>
      <c r="L189">
        <v>54</v>
      </c>
      <c r="M189">
        <v>201</v>
      </c>
      <c r="N189">
        <v>15</v>
      </c>
      <c r="O189">
        <v>10</v>
      </c>
      <c r="P189" t="s">
        <v>24</v>
      </c>
      <c r="Q189">
        <v>10</v>
      </c>
      <c r="R189" s="2">
        <v>40200</v>
      </c>
    </row>
    <row r="190" spans="1:18" x14ac:dyDescent="0.35">
      <c r="A190" t="s">
        <v>25</v>
      </c>
      <c r="B190" t="s">
        <v>26</v>
      </c>
      <c r="C190" t="s">
        <v>20</v>
      </c>
      <c r="D190" t="s">
        <v>43</v>
      </c>
      <c r="E190" t="s">
        <v>44</v>
      </c>
      <c r="F190" t="s">
        <v>33</v>
      </c>
      <c r="G190" s="1">
        <v>45360</v>
      </c>
      <c r="H190">
        <v>152</v>
      </c>
      <c r="I190">
        <v>59</v>
      </c>
      <c r="J190">
        <v>46</v>
      </c>
      <c r="K190">
        <v>139</v>
      </c>
      <c r="L190">
        <v>45</v>
      </c>
      <c r="M190">
        <v>1324</v>
      </c>
      <c r="N190">
        <v>3</v>
      </c>
      <c r="O190">
        <v>8</v>
      </c>
      <c r="P190" t="s">
        <v>24</v>
      </c>
      <c r="Q190">
        <v>60</v>
      </c>
      <c r="R190" s="2">
        <v>184036</v>
      </c>
    </row>
    <row r="191" spans="1:18" x14ac:dyDescent="0.35">
      <c r="A191" t="s">
        <v>41</v>
      </c>
      <c r="B191" t="s">
        <v>42</v>
      </c>
      <c r="C191" t="s">
        <v>20</v>
      </c>
      <c r="D191" t="s">
        <v>21</v>
      </c>
      <c r="E191" t="s">
        <v>22</v>
      </c>
      <c r="F191" t="s">
        <v>33</v>
      </c>
      <c r="G191" s="1">
        <v>45361</v>
      </c>
      <c r="H191">
        <v>79</v>
      </c>
      <c r="I191">
        <v>43</v>
      </c>
      <c r="J191">
        <v>38</v>
      </c>
      <c r="K191">
        <v>74</v>
      </c>
      <c r="L191">
        <v>45</v>
      </c>
      <c r="M191">
        <v>1195</v>
      </c>
      <c r="N191">
        <v>4</v>
      </c>
      <c r="O191">
        <v>0</v>
      </c>
      <c r="P191" t="s">
        <v>24</v>
      </c>
      <c r="Q191">
        <v>30</v>
      </c>
      <c r="R191" s="2">
        <v>88430</v>
      </c>
    </row>
    <row r="192" spans="1:18" x14ac:dyDescent="0.35">
      <c r="A192" t="s">
        <v>41</v>
      </c>
      <c r="B192" t="s">
        <v>42</v>
      </c>
      <c r="C192" t="s">
        <v>20</v>
      </c>
      <c r="D192" t="s">
        <v>39</v>
      </c>
      <c r="E192" t="s">
        <v>40</v>
      </c>
      <c r="F192" t="s">
        <v>33</v>
      </c>
      <c r="G192" s="1">
        <v>45362</v>
      </c>
      <c r="H192">
        <v>174</v>
      </c>
      <c r="I192">
        <v>27</v>
      </c>
      <c r="J192">
        <v>17</v>
      </c>
      <c r="K192">
        <v>164</v>
      </c>
      <c r="L192">
        <v>94</v>
      </c>
      <c r="M192">
        <v>241</v>
      </c>
      <c r="N192">
        <v>6</v>
      </c>
      <c r="O192">
        <v>0</v>
      </c>
      <c r="P192" t="s">
        <v>24</v>
      </c>
      <c r="Q192">
        <v>20</v>
      </c>
      <c r="R192" s="2">
        <v>39524</v>
      </c>
    </row>
    <row r="193" spans="1:18" x14ac:dyDescent="0.35">
      <c r="A193" t="s">
        <v>18</v>
      </c>
      <c r="B193" t="s">
        <v>19</v>
      </c>
      <c r="C193" t="s">
        <v>20</v>
      </c>
      <c r="D193" t="s">
        <v>39</v>
      </c>
      <c r="E193" t="s">
        <v>40</v>
      </c>
      <c r="F193" t="s">
        <v>30</v>
      </c>
      <c r="G193" s="1">
        <v>45363</v>
      </c>
      <c r="H193">
        <v>136</v>
      </c>
      <c r="I193">
        <v>26</v>
      </c>
      <c r="J193">
        <v>49</v>
      </c>
      <c r="K193">
        <v>159</v>
      </c>
      <c r="L193">
        <v>81</v>
      </c>
      <c r="M193">
        <v>905</v>
      </c>
      <c r="N193">
        <v>3</v>
      </c>
      <c r="O193">
        <v>3</v>
      </c>
      <c r="P193" t="s">
        <v>24</v>
      </c>
      <c r="Q193">
        <v>22</v>
      </c>
      <c r="R193" s="2">
        <v>143895</v>
      </c>
    </row>
    <row r="194" spans="1:18" x14ac:dyDescent="0.35">
      <c r="A194" t="s">
        <v>28</v>
      </c>
      <c r="B194" t="s">
        <v>29</v>
      </c>
      <c r="C194" t="s">
        <v>20</v>
      </c>
      <c r="D194" t="s">
        <v>21</v>
      </c>
      <c r="E194" t="s">
        <v>27</v>
      </c>
      <c r="F194" t="s">
        <v>23</v>
      </c>
      <c r="G194" s="1">
        <v>45364</v>
      </c>
      <c r="H194">
        <v>190</v>
      </c>
      <c r="I194">
        <v>55</v>
      </c>
      <c r="J194">
        <v>36</v>
      </c>
      <c r="K194">
        <v>171</v>
      </c>
      <c r="L194">
        <v>97</v>
      </c>
      <c r="M194">
        <v>938</v>
      </c>
      <c r="N194">
        <v>6</v>
      </c>
      <c r="O194">
        <v>8</v>
      </c>
      <c r="P194" t="s">
        <v>24</v>
      </c>
      <c r="Q194">
        <v>55</v>
      </c>
      <c r="R194" s="2">
        <v>160398</v>
      </c>
    </row>
    <row r="195" spans="1:18" x14ac:dyDescent="0.35">
      <c r="A195" t="s">
        <v>41</v>
      </c>
      <c r="B195" t="s">
        <v>42</v>
      </c>
      <c r="C195" t="s">
        <v>20</v>
      </c>
      <c r="D195" t="s">
        <v>37</v>
      </c>
      <c r="E195" t="s">
        <v>38</v>
      </c>
      <c r="F195" t="s">
        <v>23</v>
      </c>
      <c r="G195" s="1">
        <v>45365</v>
      </c>
      <c r="H195">
        <v>207</v>
      </c>
      <c r="I195">
        <v>7</v>
      </c>
      <c r="J195">
        <v>12</v>
      </c>
      <c r="K195">
        <v>212</v>
      </c>
      <c r="L195">
        <v>47</v>
      </c>
      <c r="M195">
        <v>841</v>
      </c>
      <c r="N195">
        <v>15</v>
      </c>
      <c r="O195">
        <v>4</v>
      </c>
      <c r="P195" t="s">
        <v>24</v>
      </c>
      <c r="Q195">
        <v>65</v>
      </c>
      <c r="R195" s="2">
        <v>178292</v>
      </c>
    </row>
    <row r="196" spans="1:18" x14ac:dyDescent="0.35">
      <c r="A196" t="s">
        <v>18</v>
      </c>
      <c r="B196" t="s">
        <v>19</v>
      </c>
      <c r="C196" t="s">
        <v>20</v>
      </c>
      <c r="D196" t="s">
        <v>31</v>
      </c>
      <c r="E196" t="s">
        <v>47</v>
      </c>
      <c r="F196" t="s">
        <v>23</v>
      </c>
      <c r="G196" s="1">
        <v>45366</v>
      </c>
      <c r="H196">
        <v>265</v>
      </c>
      <c r="I196">
        <v>47</v>
      </c>
      <c r="J196">
        <v>72</v>
      </c>
      <c r="K196">
        <v>290</v>
      </c>
      <c r="L196">
        <v>99</v>
      </c>
      <c r="M196">
        <v>1294</v>
      </c>
      <c r="N196">
        <v>2</v>
      </c>
      <c r="O196">
        <v>8</v>
      </c>
      <c r="P196" t="s">
        <v>24</v>
      </c>
      <c r="Q196">
        <v>40</v>
      </c>
      <c r="R196" s="2">
        <v>375260</v>
      </c>
    </row>
    <row r="197" spans="1:18" x14ac:dyDescent="0.35">
      <c r="A197" t="s">
        <v>34</v>
      </c>
      <c r="B197" t="s">
        <v>35</v>
      </c>
      <c r="C197" t="s">
        <v>20</v>
      </c>
      <c r="D197" t="s">
        <v>39</v>
      </c>
      <c r="E197" t="s">
        <v>45</v>
      </c>
      <c r="F197" t="s">
        <v>23</v>
      </c>
      <c r="G197" s="1">
        <v>45367</v>
      </c>
      <c r="H197">
        <v>86</v>
      </c>
      <c r="I197">
        <v>40</v>
      </c>
      <c r="J197">
        <v>45</v>
      </c>
      <c r="K197">
        <v>91</v>
      </c>
      <c r="L197">
        <v>50</v>
      </c>
      <c r="M197">
        <v>1346</v>
      </c>
      <c r="N197">
        <v>4</v>
      </c>
      <c r="O197">
        <v>5</v>
      </c>
      <c r="P197" t="s">
        <v>24</v>
      </c>
      <c r="Q197">
        <v>47</v>
      </c>
      <c r="R197" s="2">
        <v>122486</v>
      </c>
    </row>
    <row r="198" spans="1:18" x14ac:dyDescent="0.35">
      <c r="A198" t="s">
        <v>34</v>
      </c>
      <c r="B198" t="s">
        <v>35</v>
      </c>
      <c r="C198" t="s">
        <v>20</v>
      </c>
      <c r="D198" t="s">
        <v>39</v>
      </c>
      <c r="E198" t="s">
        <v>40</v>
      </c>
      <c r="F198" t="s">
        <v>30</v>
      </c>
      <c r="G198" s="1">
        <v>45368</v>
      </c>
      <c r="H198">
        <v>81</v>
      </c>
      <c r="I198">
        <v>19</v>
      </c>
      <c r="J198">
        <v>17</v>
      </c>
      <c r="K198">
        <v>79</v>
      </c>
      <c r="L198">
        <v>58</v>
      </c>
      <c r="M198">
        <v>1198</v>
      </c>
      <c r="N198">
        <v>6</v>
      </c>
      <c r="O198">
        <v>2</v>
      </c>
      <c r="P198" t="s">
        <v>24</v>
      </c>
      <c r="Q198">
        <v>26</v>
      </c>
      <c r="R198" s="2">
        <v>94642</v>
      </c>
    </row>
    <row r="199" spans="1:18" x14ac:dyDescent="0.35">
      <c r="A199" t="s">
        <v>25</v>
      </c>
      <c r="B199" t="s">
        <v>26</v>
      </c>
      <c r="C199" t="s">
        <v>20</v>
      </c>
      <c r="D199" t="s">
        <v>37</v>
      </c>
      <c r="E199" t="s">
        <v>46</v>
      </c>
      <c r="F199" t="s">
        <v>23</v>
      </c>
      <c r="G199" s="1">
        <v>45369</v>
      </c>
      <c r="H199">
        <v>120</v>
      </c>
      <c r="I199">
        <v>38</v>
      </c>
      <c r="J199">
        <v>10</v>
      </c>
      <c r="K199">
        <v>92</v>
      </c>
      <c r="L199">
        <v>89</v>
      </c>
      <c r="M199">
        <v>148</v>
      </c>
      <c r="N199">
        <v>13</v>
      </c>
      <c r="O199">
        <v>2</v>
      </c>
      <c r="P199" t="s">
        <v>24</v>
      </c>
      <c r="Q199">
        <v>13</v>
      </c>
      <c r="R199" s="2">
        <v>13616</v>
      </c>
    </row>
    <row r="200" spans="1:18" x14ac:dyDescent="0.35">
      <c r="A200" t="s">
        <v>18</v>
      </c>
      <c r="B200" t="s">
        <v>19</v>
      </c>
      <c r="C200" t="s">
        <v>20</v>
      </c>
      <c r="D200" t="s">
        <v>39</v>
      </c>
      <c r="E200" t="s">
        <v>40</v>
      </c>
      <c r="F200" t="s">
        <v>23</v>
      </c>
      <c r="G200" s="1">
        <v>45370</v>
      </c>
      <c r="H200">
        <v>223</v>
      </c>
      <c r="I200">
        <v>56</v>
      </c>
      <c r="J200">
        <v>78</v>
      </c>
      <c r="K200">
        <v>245</v>
      </c>
      <c r="L200">
        <v>96</v>
      </c>
      <c r="M200">
        <v>652</v>
      </c>
      <c r="N200">
        <v>3</v>
      </c>
      <c r="O200">
        <v>5</v>
      </c>
      <c r="P200" t="s">
        <v>24</v>
      </c>
      <c r="Q200">
        <v>55</v>
      </c>
      <c r="R200" s="2">
        <v>159740</v>
      </c>
    </row>
    <row r="201" spans="1:18" x14ac:dyDescent="0.35">
      <c r="A201" t="s">
        <v>25</v>
      </c>
      <c r="B201" t="s">
        <v>26</v>
      </c>
      <c r="C201" t="s">
        <v>20</v>
      </c>
      <c r="D201" t="s">
        <v>43</v>
      </c>
      <c r="E201" t="s">
        <v>48</v>
      </c>
      <c r="F201" t="s">
        <v>33</v>
      </c>
      <c r="G201" s="1">
        <v>45371</v>
      </c>
      <c r="H201">
        <v>80</v>
      </c>
      <c r="I201">
        <v>13</v>
      </c>
      <c r="J201">
        <v>1</v>
      </c>
      <c r="K201">
        <v>68</v>
      </c>
      <c r="L201">
        <v>59</v>
      </c>
      <c r="M201">
        <v>293</v>
      </c>
      <c r="N201">
        <v>8</v>
      </c>
      <c r="O201">
        <v>8</v>
      </c>
      <c r="P201" t="s">
        <v>24</v>
      </c>
      <c r="Q201">
        <v>49</v>
      </c>
      <c r="R201" s="2">
        <v>19924</v>
      </c>
    </row>
    <row r="202" spans="1:18" x14ac:dyDescent="0.35">
      <c r="A202" t="s">
        <v>41</v>
      </c>
      <c r="B202" t="s">
        <v>42</v>
      </c>
      <c r="C202" t="s">
        <v>20</v>
      </c>
      <c r="D202" t="s">
        <v>39</v>
      </c>
      <c r="E202" t="s">
        <v>45</v>
      </c>
      <c r="F202" t="s">
        <v>30</v>
      </c>
      <c r="G202" s="1">
        <v>45372</v>
      </c>
      <c r="H202">
        <v>242</v>
      </c>
      <c r="I202">
        <v>14</v>
      </c>
      <c r="J202">
        <v>48</v>
      </c>
      <c r="K202">
        <v>276</v>
      </c>
      <c r="L202">
        <v>94</v>
      </c>
      <c r="M202">
        <v>1333</v>
      </c>
      <c r="N202">
        <v>13</v>
      </c>
      <c r="O202">
        <v>10</v>
      </c>
      <c r="P202" t="s">
        <v>24</v>
      </c>
      <c r="Q202">
        <v>61</v>
      </c>
      <c r="R202" s="2">
        <v>367908</v>
      </c>
    </row>
    <row r="203" spans="1:18" x14ac:dyDescent="0.35">
      <c r="A203" t="s">
        <v>25</v>
      </c>
      <c r="B203" t="s">
        <v>26</v>
      </c>
      <c r="C203" t="s">
        <v>20</v>
      </c>
      <c r="D203" t="s">
        <v>37</v>
      </c>
      <c r="E203" t="s">
        <v>46</v>
      </c>
      <c r="F203" t="s">
        <v>30</v>
      </c>
      <c r="G203" s="1">
        <v>45373</v>
      </c>
      <c r="H203">
        <v>221</v>
      </c>
      <c r="I203">
        <v>33</v>
      </c>
      <c r="J203">
        <v>8</v>
      </c>
      <c r="K203">
        <v>196</v>
      </c>
      <c r="L203">
        <v>58</v>
      </c>
      <c r="M203">
        <v>770</v>
      </c>
      <c r="N203">
        <v>6</v>
      </c>
      <c r="O203">
        <v>9</v>
      </c>
      <c r="P203" t="s">
        <v>24</v>
      </c>
      <c r="Q203">
        <v>37</v>
      </c>
      <c r="R203" s="2">
        <v>150920</v>
      </c>
    </row>
    <row r="204" spans="1:18" x14ac:dyDescent="0.35">
      <c r="A204" t="s">
        <v>18</v>
      </c>
      <c r="B204" t="s">
        <v>19</v>
      </c>
      <c r="C204" t="s">
        <v>20</v>
      </c>
      <c r="D204" t="s">
        <v>21</v>
      </c>
      <c r="E204" t="s">
        <v>27</v>
      </c>
      <c r="F204" t="s">
        <v>30</v>
      </c>
      <c r="G204" s="1">
        <v>45374</v>
      </c>
      <c r="H204">
        <v>241</v>
      </c>
      <c r="I204">
        <v>49</v>
      </c>
      <c r="J204">
        <v>57</v>
      </c>
      <c r="K204">
        <v>249</v>
      </c>
      <c r="L204">
        <v>93</v>
      </c>
      <c r="M204">
        <v>237</v>
      </c>
      <c r="N204">
        <v>7</v>
      </c>
      <c r="O204">
        <v>9</v>
      </c>
      <c r="P204" t="s">
        <v>24</v>
      </c>
      <c r="Q204">
        <v>27</v>
      </c>
      <c r="R204" s="2">
        <v>59013</v>
      </c>
    </row>
    <row r="205" spans="1:18" x14ac:dyDescent="0.35">
      <c r="A205" t="s">
        <v>28</v>
      </c>
      <c r="B205" t="s">
        <v>29</v>
      </c>
      <c r="C205" t="s">
        <v>20</v>
      </c>
      <c r="D205" t="s">
        <v>31</v>
      </c>
      <c r="E205" t="s">
        <v>47</v>
      </c>
      <c r="F205" t="s">
        <v>23</v>
      </c>
      <c r="G205" s="1">
        <v>45375</v>
      </c>
      <c r="H205">
        <v>297</v>
      </c>
      <c r="I205">
        <v>11</v>
      </c>
      <c r="J205">
        <v>23</v>
      </c>
      <c r="K205">
        <v>309</v>
      </c>
      <c r="L205">
        <v>60</v>
      </c>
      <c r="M205">
        <v>857</v>
      </c>
      <c r="N205">
        <v>3</v>
      </c>
      <c r="O205">
        <v>7</v>
      </c>
      <c r="P205" t="s">
        <v>24</v>
      </c>
      <c r="Q205">
        <v>62</v>
      </c>
      <c r="R205" s="2">
        <v>264813</v>
      </c>
    </row>
    <row r="206" spans="1:18" x14ac:dyDescent="0.35">
      <c r="A206" t="s">
        <v>28</v>
      </c>
      <c r="B206" t="s">
        <v>29</v>
      </c>
      <c r="C206" t="s">
        <v>20</v>
      </c>
      <c r="D206" t="s">
        <v>31</v>
      </c>
      <c r="E206" t="s">
        <v>32</v>
      </c>
      <c r="F206" t="s">
        <v>23</v>
      </c>
      <c r="G206" s="1">
        <v>45376</v>
      </c>
      <c r="H206">
        <v>255</v>
      </c>
      <c r="I206">
        <v>52</v>
      </c>
      <c r="J206">
        <v>40</v>
      </c>
      <c r="K206">
        <v>243</v>
      </c>
      <c r="L206">
        <v>52</v>
      </c>
      <c r="M206">
        <v>1190</v>
      </c>
      <c r="N206">
        <v>14</v>
      </c>
      <c r="O206">
        <v>1</v>
      </c>
      <c r="P206" t="s">
        <v>24</v>
      </c>
      <c r="Q206">
        <v>11</v>
      </c>
      <c r="R206" s="2">
        <v>289170</v>
      </c>
    </row>
    <row r="207" spans="1:18" x14ac:dyDescent="0.35">
      <c r="A207" t="s">
        <v>28</v>
      </c>
      <c r="B207" t="s">
        <v>29</v>
      </c>
      <c r="C207" t="s">
        <v>20</v>
      </c>
      <c r="D207" t="s">
        <v>31</v>
      </c>
      <c r="E207" t="s">
        <v>32</v>
      </c>
      <c r="F207" t="s">
        <v>33</v>
      </c>
      <c r="G207" s="1">
        <v>45377</v>
      </c>
      <c r="H207">
        <v>126</v>
      </c>
      <c r="I207">
        <v>42</v>
      </c>
      <c r="J207">
        <v>44</v>
      </c>
      <c r="K207">
        <v>128</v>
      </c>
      <c r="L207">
        <v>78</v>
      </c>
      <c r="M207">
        <v>738</v>
      </c>
      <c r="N207">
        <v>7</v>
      </c>
      <c r="O207">
        <v>0</v>
      </c>
      <c r="P207" t="s">
        <v>24</v>
      </c>
      <c r="Q207">
        <v>33</v>
      </c>
      <c r="R207" s="2">
        <v>94464</v>
      </c>
    </row>
    <row r="208" spans="1:18" x14ac:dyDescent="0.35">
      <c r="A208" t="s">
        <v>25</v>
      </c>
      <c r="B208" t="s">
        <v>26</v>
      </c>
      <c r="C208" t="s">
        <v>20</v>
      </c>
      <c r="D208" t="s">
        <v>39</v>
      </c>
      <c r="E208" t="s">
        <v>40</v>
      </c>
      <c r="F208" t="s">
        <v>23</v>
      </c>
      <c r="G208" s="1">
        <v>45378</v>
      </c>
      <c r="H208">
        <v>234</v>
      </c>
      <c r="I208">
        <v>21</v>
      </c>
      <c r="J208">
        <v>26</v>
      </c>
      <c r="K208">
        <v>239</v>
      </c>
      <c r="L208">
        <v>83</v>
      </c>
      <c r="M208">
        <v>341</v>
      </c>
      <c r="N208">
        <v>5</v>
      </c>
      <c r="O208">
        <v>5</v>
      </c>
      <c r="P208" t="s">
        <v>24</v>
      </c>
      <c r="Q208">
        <v>28</v>
      </c>
      <c r="R208" s="2">
        <v>81499</v>
      </c>
    </row>
    <row r="209" spans="1:18" x14ac:dyDescent="0.35">
      <c r="A209" t="s">
        <v>41</v>
      </c>
      <c r="B209" t="s">
        <v>42</v>
      </c>
      <c r="C209" t="s">
        <v>20</v>
      </c>
      <c r="D209" t="s">
        <v>39</v>
      </c>
      <c r="E209" t="s">
        <v>45</v>
      </c>
      <c r="F209" t="s">
        <v>33</v>
      </c>
      <c r="G209" s="1">
        <v>45379</v>
      </c>
      <c r="H209">
        <v>153</v>
      </c>
      <c r="I209">
        <v>41</v>
      </c>
      <c r="J209">
        <v>9</v>
      </c>
      <c r="K209">
        <v>121</v>
      </c>
      <c r="L209">
        <v>54</v>
      </c>
      <c r="M209">
        <v>960</v>
      </c>
      <c r="N209">
        <v>13</v>
      </c>
      <c r="O209">
        <v>6</v>
      </c>
      <c r="P209" t="s">
        <v>24</v>
      </c>
      <c r="Q209">
        <v>15</v>
      </c>
      <c r="R209" s="2">
        <v>116160</v>
      </c>
    </row>
    <row r="210" spans="1:18" x14ac:dyDescent="0.35">
      <c r="A210" t="s">
        <v>25</v>
      </c>
      <c r="B210" t="s">
        <v>26</v>
      </c>
      <c r="C210" t="s">
        <v>20</v>
      </c>
      <c r="D210" t="s">
        <v>31</v>
      </c>
      <c r="E210" t="s">
        <v>32</v>
      </c>
      <c r="F210" t="s">
        <v>23</v>
      </c>
      <c r="G210" s="1">
        <v>45380</v>
      </c>
      <c r="H210">
        <v>80</v>
      </c>
      <c r="I210">
        <v>53</v>
      </c>
      <c r="J210">
        <v>39</v>
      </c>
      <c r="K210">
        <v>66</v>
      </c>
      <c r="L210">
        <v>81</v>
      </c>
      <c r="M210">
        <v>115</v>
      </c>
      <c r="N210">
        <v>10</v>
      </c>
      <c r="O210">
        <v>7</v>
      </c>
      <c r="P210" t="s">
        <v>36</v>
      </c>
      <c r="Q210">
        <v>56</v>
      </c>
      <c r="R210" s="2">
        <v>7590</v>
      </c>
    </row>
    <row r="211" spans="1:18" x14ac:dyDescent="0.35">
      <c r="A211" t="s">
        <v>34</v>
      </c>
      <c r="B211" t="s">
        <v>35</v>
      </c>
      <c r="C211" t="s">
        <v>20</v>
      </c>
      <c r="D211" t="s">
        <v>37</v>
      </c>
      <c r="E211" t="s">
        <v>38</v>
      </c>
      <c r="F211" t="s">
        <v>23</v>
      </c>
      <c r="G211" s="1">
        <v>45381</v>
      </c>
      <c r="H211">
        <v>281</v>
      </c>
      <c r="I211">
        <v>59</v>
      </c>
      <c r="J211">
        <v>60</v>
      </c>
      <c r="K211">
        <v>282</v>
      </c>
      <c r="L211">
        <v>55</v>
      </c>
      <c r="M211">
        <v>670</v>
      </c>
      <c r="N211">
        <v>10</v>
      </c>
      <c r="O211">
        <v>9</v>
      </c>
      <c r="P211" t="s">
        <v>24</v>
      </c>
      <c r="Q211">
        <v>32</v>
      </c>
      <c r="R211" s="2">
        <v>188940</v>
      </c>
    </row>
    <row r="212" spans="1:18" x14ac:dyDescent="0.35">
      <c r="A212" t="s">
        <v>25</v>
      </c>
      <c r="B212" t="s">
        <v>26</v>
      </c>
      <c r="C212" t="s">
        <v>20</v>
      </c>
      <c r="D212" t="s">
        <v>31</v>
      </c>
      <c r="E212" t="s">
        <v>47</v>
      </c>
      <c r="F212" t="s">
        <v>33</v>
      </c>
      <c r="G212" s="1">
        <v>45382</v>
      </c>
      <c r="H212">
        <v>274</v>
      </c>
      <c r="I212">
        <v>11</v>
      </c>
      <c r="J212">
        <v>8</v>
      </c>
      <c r="K212">
        <v>271</v>
      </c>
      <c r="L212">
        <v>92</v>
      </c>
      <c r="M212">
        <v>1219</v>
      </c>
      <c r="N212">
        <v>4</v>
      </c>
      <c r="O212">
        <v>9</v>
      </c>
      <c r="P212" t="s">
        <v>24</v>
      </c>
      <c r="Q212">
        <v>19</v>
      </c>
      <c r="R212" s="2">
        <v>330349</v>
      </c>
    </row>
    <row r="213" spans="1:18" x14ac:dyDescent="0.35">
      <c r="A213" t="s">
        <v>25</v>
      </c>
      <c r="B213" t="s">
        <v>26</v>
      </c>
      <c r="C213" t="s">
        <v>20</v>
      </c>
      <c r="D213" t="s">
        <v>37</v>
      </c>
      <c r="E213" t="s">
        <v>46</v>
      </c>
      <c r="F213" t="s">
        <v>33</v>
      </c>
      <c r="G213" s="1">
        <v>45383</v>
      </c>
      <c r="H213">
        <v>234</v>
      </c>
      <c r="I213">
        <v>28</v>
      </c>
      <c r="J213">
        <v>6</v>
      </c>
      <c r="K213">
        <v>212</v>
      </c>
      <c r="L213">
        <v>73</v>
      </c>
      <c r="M213">
        <v>680</v>
      </c>
      <c r="N213">
        <v>15</v>
      </c>
      <c r="O213">
        <v>4</v>
      </c>
      <c r="P213" t="s">
        <v>24</v>
      </c>
      <c r="Q213">
        <v>51</v>
      </c>
      <c r="R213" s="2">
        <v>144160</v>
      </c>
    </row>
    <row r="214" spans="1:18" x14ac:dyDescent="0.35">
      <c r="A214" t="s">
        <v>28</v>
      </c>
      <c r="B214" t="s">
        <v>29</v>
      </c>
      <c r="C214" t="s">
        <v>20</v>
      </c>
      <c r="D214" t="s">
        <v>43</v>
      </c>
      <c r="E214" t="s">
        <v>44</v>
      </c>
      <c r="F214" t="s">
        <v>30</v>
      </c>
      <c r="G214" s="1">
        <v>45384</v>
      </c>
      <c r="H214">
        <v>267</v>
      </c>
      <c r="I214">
        <v>59</v>
      </c>
      <c r="J214">
        <v>5</v>
      </c>
      <c r="K214">
        <v>213</v>
      </c>
      <c r="L214">
        <v>81</v>
      </c>
      <c r="M214">
        <v>713</v>
      </c>
      <c r="N214">
        <v>9</v>
      </c>
      <c r="O214">
        <v>9</v>
      </c>
      <c r="P214" t="s">
        <v>24</v>
      </c>
      <c r="Q214">
        <v>45</v>
      </c>
      <c r="R214" s="2">
        <v>151869</v>
      </c>
    </row>
    <row r="215" spans="1:18" x14ac:dyDescent="0.35">
      <c r="A215" t="s">
        <v>28</v>
      </c>
      <c r="B215" t="s">
        <v>29</v>
      </c>
      <c r="C215" t="s">
        <v>20</v>
      </c>
      <c r="D215" t="s">
        <v>21</v>
      </c>
      <c r="E215" t="s">
        <v>22</v>
      </c>
      <c r="F215" t="s">
        <v>30</v>
      </c>
      <c r="G215" s="1">
        <v>45385</v>
      </c>
      <c r="H215">
        <v>57</v>
      </c>
      <c r="I215">
        <v>30</v>
      </c>
      <c r="J215">
        <v>44</v>
      </c>
      <c r="K215">
        <v>71</v>
      </c>
      <c r="L215">
        <v>77</v>
      </c>
      <c r="M215">
        <v>950</v>
      </c>
      <c r="N215">
        <v>12</v>
      </c>
      <c r="O215">
        <v>4</v>
      </c>
      <c r="P215" t="s">
        <v>36</v>
      </c>
      <c r="Q215">
        <v>50</v>
      </c>
      <c r="R215" s="2">
        <v>67450</v>
      </c>
    </row>
    <row r="216" spans="1:18" x14ac:dyDescent="0.35">
      <c r="A216" t="s">
        <v>28</v>
      </c>
      <c r="B216" t="s">
        <v>29</v>
      </c>
      <c r="C216" t="s">
        <v>20</v>
      </c>
      <c r="D216" t="s">
        <v>21</v>
      </c>
      <c r="E216" t="s">
        <v>22</v>
      </c>
      <c r="F216" t="s">
        <v>33</v>
      </c>
      <c r="G216" s="1">
        <v>45386</v>
      </c>
      <c r="H216">
        <v>281</v>
      </c>
      <c r="I216">
        <v>26</v>
      </c>
      <c r="J216">
        <v>67</v>
      </c>
      <c r="K216">
        <v>322</v>
      </c>
      <c r="L216">
        <v>84</v>
      </c>
      <c r="M216">
        <v>59</v>
      </c>
      <c r="N216">
        <v>12</v>
      </c>
      <c r="O216">
        <v>1</v>
      </c>
      <c r="P216" t="s">
        <v>24</v>
      </c>
      <c r="Q216">
        <v>23</v>
      </c>
      <c r="R216" s="2">
        <v>18998</v>
      </c>
    </row>
    <row r="217" spans="1:18" x14ac:dyDescent="0.35">
      <c r="A217" t="s">
        <v>41</v>
      </c>
      <c r="B217" t="s">
        <v>42</v>
      </c>
      <c r="C217" t="s">
        <v>20</v>
      </c>
      <c r="D217" t="s">
        <v>37</v>
      </c>
      <c r="E217" t="s">
        <v>46</v>
      </c>
      <c r="F217" t="s">
        <v>30</v>
      </c>
      <c r="G217" s="1">
        <v>45387</v>
      </c>
      <c r="H217">
        <v>201</v>
      </c>
      <c r="I217">
        <v>31</v>
      </c>
      <c r="J217">
        <v>67</v>
      </c>
      <c r="K217">
        <v>237</v>
      </c>
      <c r="L217">
        <v>100</v>
      </c>
      <c r="M217">
        <v>1215</v>
      </c>
      <c r="N217">
        <v>3</v>
      </c>
      <c r="O217">
        <v>8</v>
      </c>
      <c r="P217" t="s">
        <v>24</v>
      </c>
      <c r="Q217">
        <v>57</v>
      </c>
      <c r="R217" s="2">
        <v>287955</v>
      </c>
    </row>
    <row r="218" spans="1:18" x14ac:dyDescent="0.35">
      <c r="A218" t="s">
        <v>41</v>
      </c>
      <c r="B218" t="s">
        <v>42</v>
      </c>
      <c r="C218" t="s">
        <v>20</v>
      </c>
      <c r="D218" t="s">
        <v>31</v>
      </c>
      <c r="E218" t="s">
        <v>32</v>
      </c>
      <c r="F218" t="s">
        <v>33</v>
      </c>
      <c r="G218" s="1">
        <v>45388</v>
      </c>
      <c r="H218">
        <v>137</v>
      </c>
      <c r="I218">
        <v>16</v>
      </c>
      <c r="J218">
        <v>8</v>
      </c>
      <c r="K218">
        <v>129</v>
      </c>
      <c r="L218">
        <v>40</v>
      </c>
      <c r="M218">
        <v>1131</v>
      </c>
      <c r="N218">
        <v>13</v>
      </c>
      <c r="O218">
        <v>5</v>
      </c>
      <c r="P218" t="s">
        <v>24</v>
      </c>
      <c r="Q218">
        <v>38</v>
      </c>
      <c r="R218" s="2">
        <v>145899</v>
      </c>
    </row>
    <row r="219" spans="1:18" x14ac:dyDescent="0.35">
      <c r="A219" t="s">
        <v>28</v>
      </c>
      <c r="B219" t="s">
        <v>29</v>
      </c>
      <c r="C219" t="s">
        <v>20</v>
      </c>
      <c r="D219" t="s">
        <v>21</v>
      </c>
      <c r="E219" t="s">
        <v>22</v>
      </c>
      <c r="F219" t="s">
        <v>33</v>
      </c>
      <c r="G219" s="1">
        <v>45389</v>
      </c>
      <c r="H219">
        <v>255</v>
      </c>
      <c r="I219">
        <v>49</v>
      </c>
      <c r="J219">
        <v>32</v>
      </c>
      <c r="K219">
        <v>238</v>
      </c>
      <c r="L219">
        <v>49</v>
      </c>
      <c r="M219">
        <v>879</v>
      </c>
      <c r="N219">
        <v>3</v>
      </c>
      <c r="O219">
        <v>0</v>
      </c>
      <c r="P219" t="s">
        <v>24</v>
      </c>
      <c r="Q219">
        <v>64</v>
      </c>
      <c r="R219" s="2">
        <v>209202</v>
      </c>
    </row>
    <row r="220" spans="1:18" x14ac:dyDescent="0.35">
      <c r="A220" t="s">
        <v>18</v>
      </c>
      <c r="B220" t="s">
        <v>19</v>
      </c>
      <c r="C220" t="s">
        <v>20</v>
      </c>
      <c r="D220" t="s">
        <v>43</v>
      </c>
      <c r="E220" t="s">
        <v>48</v>
      </c>
      <c r="F220" t="s">
        <v>23</v>
      </c>
      <c r="G220" s="1">
        <v>45390</v>
      </c>
      <c r="H220">
        <v>237</v>
      </c>
      <c r="I220">
        <v>32</v>
      </c>
      <c r="J220">
        <v>19</v>
      </c>
      <c r="K220">
        <v>224</v>
      </c>
      <c r="L220">
        <v>88</v>
      </c>
      <c r="M220">
        <v>825</v>
      </c>
      <c r="N220">
        <v>15</v>
      </c>
      <c r="O220">
        <v>0</v>
      </c>
      <c r="P220" t="s">
        <v>24</v>
      </c>
      <c r="Q220">
        <v>30</v>
      </c>
      <c r="R220" s="2">
        <v>184800</v>
      </c>
    </row>
    <row r="221" spans="1:18" x14ac:dyDescent="0.35">
      <c r="A221" t="s">
        <v>34</v>
      </c>
      <c r="B221" t="s">
        <v>35</v>
      </c>
      <c r="C221" t="s">
        <v>20</v>
      </c>
      <c r="D221" t="s">
        <v>43</v>
      </c>
      <c r="E221" t="s">
        <v>48</v>
      </c>
      <c r="F221" t="s">
        <v>23</v>
      </c>
      <c r="G221" s="1">
        <v>45391</v>
      </c>
      <c r="H221">
        <v>275</v>
      </c>
      <c r="I221">
        <v>50</v>
      </c>
      <c r="J221">
        <v>45</v>
      </c>
      <c r="K221">
        <v>270</v>
      </c>
      <c r="L221">
        <v>68</v>
      </c>
      <c r="M221">
        <v>417</v>
      </c>
      <c r="N221">
        <v>13</v>
      </c>
      <c r="O221">
        <v>6</v>
      </c>
      <c r="P221" t="s">
        <v>24</v>
      </c>
      <c r="Q221">
        <v>43</v>
      </c>
      <c r="R221" s="2">
        <v>112590</v>
      </c>
    </row>
    <row r="222" spans="1:18" x14ac:dyDescent="0.35">
      <c r="A222" t="s">
        <v>25</v>
      </c>
      <c r="B222" t="s">
        <v>26</v>
      </c>
      <c r="C222" t="s">
        <v>20</v>
      </c>
      <c r="D222" t="s">
        <v>39</v>
      </c>
      <c r="E222" t="s">
        <v>40</v>
      </c>
      <c r="F222" t="s">
        <v>23</v>
      </c>
      <c r="G222" s="1">
        <v>45392</v>
      </c>
      <c r="H222">
        <v>298</v>
      </c>
      <c r="I222">
        <v>47</v>
      </c>
      <c r="J222">
        <v>43</v>
      </c>
      <c r="K222">
        <v>294</v>
      </c>
      <c r="L222">
        <v>63</v>
      </c>
      <c r="M222">
        <v>220</v>
      </c>
      <c r="N222">
        <v>15</v>
      </c>
      <c r="O222">
        <v>8</v>
      </c>
      <c r="P222" t="s">
        <v>24</v>
      </c>
      <c r="Q222">
        <v>52</v>
      </c>
      <c r="R222" s="2">
        <v>64680</v>
      </c>
    </row>
    <row r="223" spans="1:18" x14ac:dyDescent="0.35">
      <c r="A223" t="s">
        <v>41</v>
      </c>
      <c r="B223" t="s">
        <v>42</v>
      </c>
      <c r="C223" t="s">
        <v>20</v>
      </c>
      <c r="D223" t="s">
        <v>43</v>
      </c>
      <c r="E223" t="s">
        <v>44</v>
      </c>
      <c r="F223" t="s">
        <v>30</v>
      </c>
      <c r="G223" s="1">
        <v>45393</v>
      </c>
      <c r="H223">
        <v>150</v>
      </c>
      <c r="I223">
        <v>42</v>
      </c>
      <c r="J223">
        <v>2</v>
      </c>
      <c r="K223">
        <v>110</v>
      </c>
      <c r="L223">
        <v>73</v>
      </c>
      <c r="M223">
        <v>404</v>
      </c>
      <c r="N223">
        <v>11</v>
      </c>
      <c r="O223">
        <v>1</v>
      </c>
      <c r="P223" t="s">
        <v>24</v>
      </c>
      <c r="Q223">
        <v>13</v>
      </c>
      <c r="R223" s="2">
        <v>44440</v>
      </c>
    </row>
    <row r="224" spans="1:18" x14ac:dyDescent="0.35">
      <c r="A224" t="s">
        <v>34</v>
      </c>
      <c r="B224" t="s">
        <v>35</v>
      </c>
      <c r="C224" t="s">
        <v>20</v>
      </c>
      <c r="D224" t="s">
        <v>39</v>
      </c>
      <c r="E224" t="s">
        <v>45</v>
      </c>
      <c r="F224" t="s">
        <v>33</v>
      </c>
      <c r="G224" s="1">
        <v>45394</v>
      </c>
      <c r="H224">
        <v>264</v>
      </c>
      <c r="I224">
        <v>12</v>
      </c>
      <c r="J224">
        <v>23</v>
      </c>
      <c r="K224">
        <v>275</v>
      </c>
      <c r="L224">
        <v>43</v>
      </c>
      <c r="M224">
        <v>964</v>
      </c>
      <c r="N224">
        <v>8</v>
      </c>
      <c r="O224">
        <v>5</v>
      </c>
      <c r="P224" t="s">
        <v>24</v>
      </c>
      <c r="Q224">
        <v>24</v>
      </c>
      <c r="R224" s="2">
        <v>265100</v>
      </c>
    </row>
    <row r="225" spans="1:18" x14ac:dyDescent="0.35">
      <c r="A225" t="s">
        <v>41</v>
      </c>
      <c r="B225" t="s">
        <v>42</v>
      </c>
      <c r="C225" t="s">
        <v>20</v>
      </c>
      <c r="D225" t="s">
        <v>43</v>
      </c>
      <c r="E225" t="s">
        <v>48</v>
      </c>
      <c r="F225" t="s">
        <v>23</v>
      </c>
      <c r="G225" s="1">
        <v>45395</v>
      </c>
      <c r="H225">
        <v>70</v>
      </c>
      <c r="I225">
        <v>22</v>
      </c>
      <c r="J225">
        <v>72</v>
      </c>
      <c r="K225">
        <v>120</v>
      </c>
      <c r="L225">
        <v>99</v>
      </c>
      <c r="M225">
        <v>1160</v>
      </c>
      <c r="N225">
        <v>3</v>
      </c>
      <c r="O225">
        <v>8</v>
      </c>
      <c r="P225" t="s">
        <v>24</v>
      </c>
      <c r="Q225">
        <v>65</v>
      </c>
      <c r="R225" s="2">
        <v>139200</v>
      </c>
    </row>
    <row r="226" spans="1:18" x14ac:dyDescent="0.35">
      <c r="A226" t="s">
        <v>41</v>
      </c>
      <c r="B226" t="s">
        <v>42</v>
      </c>
      <c r="C226" t="s">
        <v>20</v>
      </c>
      <c r="D226" t="s">
        <v>37</v>
      </c>
      <c r="E226" t="s">
        <v>46</v>
      </c>
      <c r="F226" t="s">
        <v>33</v>
      </c>
      <c r="G226" s="1">
        <v>45396</v>
      </c>
      <c r="H226">
        <v>105</v>
      </c>
      <c r="I226">
        <v>25</v>
      </c>
      <c r="J226">
        <v>61</v>
      </c>
      <c r="K226">
        <v>141</v>
      </c>
      <c r="L226">
        <v>87</v>
      </c>
      <c r="M226">
        <v>129</v>
      </c>
      <c r="N226">
        <v>9</v>
      </c>
      <c r="O226">
        <v>8</v>
      </c>
      <c r="P226" t="s">
        <v>24</v>
      </c>
      <c r="Q226">
        <v>44</v>
      </c>
      <c r="R226" s="2">
        <v>18189</v>
      </c>
    </row>
    <row r="227" spans="1:18" x14ac:dyDescent="0.35">
      <c r="A227" t="s">
        <v>25</v>
      </c>
      <c r="B227" t="s">
        <v>26</v>
      </c>
      <c r="C227" t="s">
        <v>20</v>
      </c>
      <c r="D227" t="s">
        <v>37</v>
      </c>
      <c r="E227" t="s">
        <v>38</v>
      </c>
      <c r="F227" t="s">
        <v>33</v>
      </c>
      <c r="G227" s="1">
        <v>45397</v>
      </c>
      <c r="H227">
        <v>69</v>
      </c>
      <c r="I227">
        <v>37</v>
      </c>
      <c r="J227">
        <v>31</v>
      </c>
      <c r="K227">
        <v>63</v>
      </c>
      <c r="L227">
        <v>42</v>
      </c>
      <c r="M227">
        <v>435</v>
      </c>
      <c r="N227">
        <v>12</v>
      </c>
      <c r="O227">
        <v>8</v>
      </c>
      <c r="P227" t="s">
        <v>24</v>
      </c>
      <c r="Q227">
        <v>62</v>
      </c>
      <c r="R227" s="2">
        <v>27405</v>
      </c>
    </row>
    <row r="228" spans="1:18" x14ac:dyDescent="0.35">
      <c r="A228" t="s">
        <v>25</v>
      </c>
      <c r="B228" t="s">
        <v>26</v>
      </c>
      <c r="C228" t="s">
        <v>20</v>
      </c>
      <c r="D228" t="s">
        <v>21</v>
      </c>
      <c r="E228" t="s">
        <v>27</v>
      </c>
      <c r="F228" t="s">
        <v>30</v>
      </c>
      <c r="G228" s="1">
        <v>45398</v>
      </c>
      <c r="H228">
        <v>166</v>
      </c>
      <c r="I228">
        <v>49</v>
      </c>
      <c r="J228">
        <v>9</v>
      </c>
      <c r="K228">
        <v>126</v>
      </c>
      <c r="L228">
        <v>46</v>
      </c>
      <c r="M228">
        <v>657</v>
      </c>
      <c r="N228">
        <v>7</v>
      </c>
      <c r="O228">
        <v>3</v>
      </c>
      <c r="P228" t="s">
        <v>24</v>
      </c>
      <c r="Q228">
        <v>65</v>
      </c>
      <c r="R228" s="2">
        <v>82782</v>
      </c>
    </row>
    <row r="229" spans="1:18" x14ac:dyDescent="0.35">
      <c r="A229" t="s">
        <v>25</v>
      </c>
      <c r="B229" t="s">
        <v>26</v>
      </c>
      <c r="C229" t="s">
        <v>20</v>
      </c>
      <c r="D229" t="s">
        <v>43</v>
      </c>
      <c r="E229" t="s">
        <v>44</v>
      </c>
      <c r="F229" t="s">
        <v>33</v>
      </c>
      <c r="G229" s="1">
        <v>45399</v>
      </c>
      <c r="H229">
        <v>103</v>
      </c>
      <c r="I229">
        <v>21</v>
      </c>
      <c r="J229">
        <v>18</v>
      </c>
      <c r="K229">
        <v>100</v>
      </c>
      <c r="L229">
        <v>56</v>
      </c>
      <c r="M229">
        <v>1323</v>
      </c>
      <c r="N229">
        <v>9</v>
      </c>
      <c r="O229">
        <v>0</v>
      </c>
      <c r="P229" t="s">
        <v>24</v>
      </c>
      <c r="Q229">
        <v>40</v>
      </c>
      <c r="R229" s="2">
        <v>132300</v>
      </c>
    </row>
    <row r="230" spans="1:18" x14ac:dyDescent="0.35">
      <c r="A230" t="s">
        <v>41</v>
      </c>
      <c r="B230" t="s">
        <v>42</v>
      </c>
      <c r="C230" t="s">
        <v>20</v>
      </c>
      <c r="D230" t="s">
        <v>43</v>
      </c>
      <c r="E230" t="s">
        <v>44</v>
      </c>
      <c r="F230" t="s">
        <v>23</v>
      </c>
      <c r="G230" s="1">
        <v>45400</v>
      </c>
      <c r="H230">
        <v>296</v>
      </c>
      <c r="I230">
        <v>15</v>
      </c>
      <c r="J230">
        <v>50</v>
      </c>
      <c r="K230">
        <v>331</v>
      </c>
      <c r="L230">
        <v>47</v>
      </c>
      <c r="M230">
        <v>829</v>
      </c>
      <c r="N230">
        <v>10</v>
      </c>
      <c r="O230">
        <v>4</v>
      </c>
      <c r="P230" t="s">
        <v>24</v>
      </c>
      <c r="Q230">
        <v>49</v>
      </c>
      <c r="R230" s="2">
        <v>274399</v>
      </c>
    </row>
    <row r="231" spans="1:18" x14ac:dyDescent="0.35">
      <c r="A231" t="s">
        <v>34</v>
      </c>
      <c r="B231" t="s">
        <v>35</v>
      </c>
      <c r="C231" t="s">
        <v>20</v>
      </c>
      <c r="D231" t="s">
        <v>43</v>
      </c>
      <c r="E231" t="s">
        <v>48</v>
      </c>
      <c r="F231" t="s">
        <v>30</v>
      </c>
      <c r="G231" s="1">
        <v>45401</v>
      </c>
      <c r="H231">
        <v>275</v>
      </c>
      <c r="I231">
        <v>15</v>
      </c>
      <c r="J231">
        <v>24</v>
      </c>
      <c r="K231">
        <v>284</v>
      </c>
      <c r="L231">
        <v>89</v>
      </c>
      <c r="M231">
        <v>631</v>
      </c>
      <c r="N231">
        <v>4</v>
      </c>
      <c r="O231">
        <v>5</v>
      </c>
      <c r="P231" t="s">
        <v>24</v>
      </c>
      <c r="Q231">
        <v>52</v>
      </c>
      <c r="R231" s="2">
        <v>179204</v>
      </c>
    </row>
    <row r="232" spans="1:18" x14ac:dyDescent="0.35">
      <c r="A232" t="s">
        <v>28</v>
      </c>
      <c r="B232" t="s">
        <v>29</v>
      </c>
      <c r="C232" t="s">
        <v>20</v>
      </c>
      <c r="D232" t="s">
        <v>21</v>
      </c>
      <c r="E232" t="s">
        <v>27</v>
      </c>
      <c r="F232" t="s">
        <v>33</v>
      </c>
      <c r="G232" s="1">
        <v>45402</v>
      </c>
      <c r="H232">
        <v>134</v>
      </c>
      <c r="I232">
        <v>52</v>
      </c>
      <c r="J232">
        <v>20</v>
      </c>
      <c r="K232">
        <v>102</v>
      </c>
      <c r="L232">
        <v>67</v>
      </c>
      <c r="M232">
        <v>70</v>
      </c>
      <c r="N232">
        <v>13</v>
      </c>
      <c r="O232">
        <v>8</v>
      </c>
      <c r="P232" t="s">
        <v>24</v>
      </c>
      <c r="Q232">
        <v>68</v>
      </c>
      <c r="R232" s="2">
        <v>7140</v>
      </c>
    </row>
    <row r="233" spans="1:18" x14ac:dyDescent="0.35">
      <c r="A233" t="s">
        <v>28</v>
      </c>
      <c r="B233" t="s">
        <v>29</v>
      </c>
      <c r="C233" t="s">
        <v>20</v>
      </c>
      <c r="D233" t="s">
        <v>31</v>
      </c>
      <c r="E233" t="s">
        <v>47</v>
      </c>
      <c r="F233" t="s">
        <v>30</v>
      </c>
      <c r="G233" s="1">
        <v>45403</v>
      </c>
      <c r="H233">
        <v>211</v>
      </c>
      <c r="I233">
        <v>35</v>
      </c>
      <c r="J233">
        <v>30</v>
      </c>
      <c r="K233">
        <v>206</v>
      </c>
      <c r="L233">
        <v>97</v>
      </c>
      <c r="M233">
        <v>1150</v>
      </c>
      <c r="N233">
        <v>8</v>
      </c>
      <c r="O233">
        <v>1</v>
      </c>
      <c r="P233" t="s">
        <v>24</v>
      </c>
      <c r="Q233">
        <v>29</v>
      </c>
      <c r="R233" s="2">
        <v>236900</v>
      </c>
    </row>
    <row r="234" spans="1:18" x14ac:dyDescent="0.35">
      <c r="A234" t="s">
        <v>28</v>
      </c>
      <c r="B234" t="s">
        <v>29</v>
      </c>
      <c r="C234" t="s">
        <v>20</v>
      </c>
      <c r="D234" t="s">
        <v>43</v>
      </c>
      <c r="E234" t="s">
        <v>44</v>
      </c>
      <c r="F234" t="s">
        <v>23</v>
      </c>
      <c r="G234" s="1">
        <v>45404</v>
      </c>
      <c r="H234">
        <v>76</v>
      </c>
      <c r="I234">
        <v>37</v>
      </c>
      <c r="J234">
        <v>1</v>
      </c>
      <c r="K234">
        <v>40</v>
      </c>
      <c r="L234">
        <v>89</v>
      </c>
      <c r="M234">
        <v>377</v>
      </c>
      <c r="N234">
        <v>9</v>
      </c>
      <c r="O234">
        <v>5</v>
      </c>
      <c r="P234" t="s">
        <v>36</v>
      </c>
      <c r="Q234">
        <v>50</v>
      </c>
      <c r="R234" s="2">
        <v>15080</v>
      </c>
    </row>
    <row r="235" spans="1:18" x14ac:dyDescent="0.35">
      <c r="A235" t="s">
        <v>18</v>
      </c>
      <c r="B235" t="s">
        <v>19</v>
      </c>
      <c r="C235" t="s">
        <v>20</v>
      </c>
      <c r="D235" t="s">
        <v>43</v>
      </c>
      <c r="E235" t="s">
        <v>48</v>
      </c>
      <c r="F235" t="s">
        <v>23</v>
      </c>
      <c r="G235" s="1">
        <v>45405</v>
      </c>
      <c r="H235">
        <v>176</v>
      </c>
      <c r="I235">
        <v>42</v>
      </c>
      <c r="J235">
        <v>35</v>
      </c>
      <c r="K235">
        <v>169</v>
      </c>
      <c r="L235">
        <v>60</v>
      </c>
      <c r="M235">
        <v>1142</v>
      </c>
      <c r="N235">
        <v>6</v>
      </c>
      <c r="O235">
        <v>6</v>
      </c>
      <c r="P235" t="s">
        <v>24</v>
      </c>
      <c r="Q235">
        <v>17</v>
      </c>
      <c r="R235" s="2">
        <v>192998</v>
      </c>
    </row>
    <row r="236" spans="1:18" x14ac:dyDescent="0.35">
      <c r="A236" t="s">
        <v>25</v>
      </c>
      <c r="B236" t="s">
        <v>26</v>
      </c>
      <c r="C236" t="s">
        <v>20</v>
      </c>
      <c r="D236" t="s">
        <v>21</v>
      </c>
      <c r="E236" t="s">
        <v>27</v>
      </c>
      <c r="F236" t="s">
        <v>33</v>
      </c>
      <c r="G236" s="1">
        <v>45406</v>
      </c>
      <c r="H236">
        <v>181</v>
      </c>
      <c r="I236">
        <v>34</v>
      </c>
      <c r="J236">
        <v>67</v>
      </c>
      <c r="K236">
        <v>214</v>
      </c>
      <c r="L236">
        <v>40</v>
      </c>
      <c r="M236">
        <v>852</v>
      </c>
      <c r="N236">
        <v>10</v>
      </c>
      <c r="O236">
        <v>6</v>
      </c>
      <c r="P236" t="s">
        <v>24</v>
      </c>
      <c r="Q236">
        <v>16</v>
      </c>
      <c r="R236" s="2">
        <v>182328</v>
      </c>
    </row>
    <row r="237" spans="1:18" x14ac:dyDescent="0.35">
      <c r="A237" t="s">
        <v>25</v>
      </c>
      <c r="B237" t="s">
        <v>26</v>
      </c>
      <c r="C237" t="s">
        <v>20</v>
      </c>
      <c r="D237" t="s">
        <v>39</v>
      </c>
      <c r="E237" t="s">
        <v>45</v>
      </c>
      <c r="F237" t="s">
        <v>30</v>
      </c>
      <c r="G237" s="1">
        <v>45407</v>
      </c>
      <c r="H237">
        <v>232</v>
      </c>
      <c r="I237">
        <v>50</v>
      </c>
      <c r="J237">
        <v>42</v>
      </c>
      <c r="K237">
        <v>224</v>
      </c>
      <c r="L237">
        <v>58</v>
      </c>
      <c r="M237">
        <v>900</v>
      </c>
      <c r="N237">
        <v>8</v>
      </c>
      <c r="O237">
        <v>2</v>
      </c>
      <c r="P237" t="s">
        <v>24</v>
      </c>
      <c r="Q237">
        <v>59</v>
      </c>
      <c r="R237" s="2">
        <v>201600</v>
      </c>
    </row>
    <row r="238" spans="1:18" x14ac:dyDescent="0.35">
      <c r="A238" t="s">
        <v>25</v>
      </c>
      <c r="B238" t="s">
        <v>26</v>
      </c>
      <c r="C238" t="s">
        <v>20</v>
      </c>
      <c r="D238" t="s">
        <v>21</v>
      </c>
      <c r="E238" t="s">
        <v>22</v>
      </c>
      <c r="F238" t="s">
        <v>30</v>
      </c>
      <c r="G238" s="1">
        <v>45408</v>
      </c>
      <c r="H238">
        <v>82</v>
      </c>
      <c r="I238">
        <v>33</v>
      </c>
      <c r="J238">
        <v>16</v>
      </c>
      <c r="K238">
        <v>65</v>
      </c>
      <c r="L238">
        <v>87</v>
      </c>
      <c r="M238">
        <v>154</v>
      </c>
      <c r="N238">
        <v>3</v>
      </c>
      <c r="O238">
        <v>7</v>
      </c>
      <c r="P238" t="s">
        <v>36</v>
      </c>
      <c r="Q238">
        <v>57</v>
      </c>
      <c r="R238" s="2">
        <v>10010</v>
      </c>
    </row>
    <row r="239" spans="1:18" x14ac:dyDescent="0.35">
      <c r="A239" t="s">
        <v>41</v>
      </c>
      <c r="B239" t="s">
        <v>42</v>
      </c>
      <c r="C239" t="s">
        <v>20</v>
      </c>
      <c r="D239" t="s">
        <v>37</v>
      </c>
      <c r="E239" t="s">
        <v>46</v>
      </c>
      <c r="F239" t="s">
        <v>23</v>
      </c>
      <c r="G239" s="1">
        <v>45409</v>
      </c>
      <c r="H239">
        <v>284</v>
      </c>
      <c r="I239">
        <v>29</v>
      </c>
      <c r="J239">
        <v>9</v>
      </c>
      <c r="K239">
        <v>264</v>
      </c>
      <c r="L239">
        <v>55</v>
      </c>
      <c r="M239">
        <v>548</v>
      </c>
      <c r="N239">
        <v>6</v>
      </c>
      <c r="O239">
        <v>8</v>
      </c>
      <c r="P239" t="s">
        <v>24</v>
      </c>
      <c r="Q239">
        <v>29</v>
      </c>
      <c r="R239" s="2">
        <v>144672</v>
      </c>
    </row>
    <row r="240" spans="1:18" x14ac:dyDescent="0.35">
      <c r="A240" t="s">
        <v>41</v>
      </c>
      <c r="B240" t="s">
        <v>42</v>
      </c>
      <c r="C240" t="s">
        <v>20</v>
      </c>
      <c r="D240" t="s">
        <v>37</v>
      </c>
      <c r="E240" t="s">
        <v>46</v>
      </c>
      <c r="F240" t="s">
        <v>23</v>
      </c>
      <c r="G240" s="1">
        <v>45410</v>
      </c>
      <c r="H240">
        <v>104</v>
      </c>
      <c r="I240">
        <v>9</v>
      </c>
      <c r="J240">
        <v>57</v>
      </c>
      <c r="K240">
        <v>152</v>
      </c>
      <c r="L240">
        <v>53</v>
      </c>
      <c r="M240">
        <v>442</v>
      </c>
      <c r="N240">
        <v>10</v>
      </c>
      <c r="O240">
        <v>8</v>
      </c>
      <c r="P240" t="s">
        <v>24</v>
      </c>
      <c r="Q240">
        <v>48</v>
      </c>
      <c r="R240" s="2">
        <v>67184</v>
      </c>
    </row>
    <row r="241" spans="1:18" x14ac:dyDescent="0.35">
      <c r="A241" t="s">
        <v>18</v>
      </c>
      <c r="B241" t="s">
        <v>19</v>
      </c>
      <c r="C241" t="s">
        <v>20</v>
      </c>
      <c r="D241" t="s">
        <v>37</v>
      </c>
      <c r="E241" t="s">
        <v>46</v>
      </c>
      <c r="F241" t="s">
        <v>23</v>
      </c>
      <c r="G241" s="1">
        <v>45411</v>
      </c>
      <c r="H241">
        <v>179</v>
      </c>
      <c r="I241">
        <v>43</v>
      </c>
      <c r="J241">
        <v>29</v>
      </c>
      <c r="K241">
        <v>165</v>
      </c>
      <c r="L241">
        <v>68</v>
      </c>
      <c r="M241">
        <v>1290</v>
      </c>
      <c r="N241">
        <v>6</v>
      </c>
      <c r="O241">
        <v>3</v>
      </c>
      <c r="P241" t="s">
        <v>24</v>
      </c>
      <c r="Q241">
        <v>30</v>
      </c>
      <c r="R241" s="2">
        <v>212850</v>
      </c>
    </row>
    <row r="242" spans="1:18" x14ac:dyDescent="0.35">
      <c r="A242" t="s">
        <v>25</v>
      </c>
      <c r="B242" t="s">
        <v>26</v>
      </c>
      <c r="C242" t="s">
        <v>20</v>
      </c>
      <c r="D242" t="s">
        <v>43</v>
      </c>
      <c r="E242" t="s">
        <v>48</v>
      </c>
      <c r="F242" t="s">
        <v>30</v>
      </c>
      <c r="G242" s="1">
        <v>45292</v>
      </c>
      <c r="H242">
        <v>178</v>
      </c>
      <c r="I242">
        <v>12</v>
      </c>
      <c r="J242">
        <v>70</v>
      </c>
      <c r="K242">
        <v>236</v>
      </c>
      <c r="L242">
        <v>94</v>
      </c>
      <c r="M242">
        <v>1226</v>
      </c>
      <c r="N242">
        <v>8</v>
      </c>
      <c r="O242">
        <v>2</v>
      </c>
      <c r="P242" t="s">
        <v>24</v>
      </c>
      <c r="Q242">
        <v>28</v>
      </c>
      <c r="R242" s="2">
        <v>289336</v>
      </c>
    </row>
    <row r="243" spans="1:18" x14ac:dyDescent="0.35">
      <c r="A243" t="s">
        <v>25</v>
      </c>
      <c r="B243" t="s">
        <v>26</v>
      </c>
      <c r="C243" t="s">
        <v>20</v>
      </c>
      <c r="D243" t="s">
        <v>21</v>
      </c>
      <c r="E243" t="s">
        <v>22</v>
      </c>
      <c r="F243" t="s">
        <v>30</v>
      </c>
      <c r="G243" s="1">
        <v>45293</v>
      </c>
      <c r="H243">
        <v>66</v>
      </c>
      <c r="I243">
        <v>43</v>
      </c>
      <c r="J243">
        <v>43</v>
      </c>
      <c r="K243">
        <v>66</v>
      </c>
      <c r="L243">
        <v>90</v>
      </c>
      <c r="M243">
        <v>1181</v>
      </c>
      <c r="N243">
        <v>3</v>
      </c>
      <c r="O243">
        <v>6</v>
      </c>
      <c r="P243" t="s">
        <v>36</v>
      </c>
      <c r="Q243">
        <v>48</v>
      </c>
      <c r="R243" s="2">
        <v>77946</v>
      </c>
    </row>
    <row r="244" spans="1:18" x14ac:dyDescent="0.35">
      <c r="A244" t="s">
        <v>41</v>
      </c>
      <c r="B244" t="s">
        <v>42</v>
      </c>
      <c r="C244" t="s">
        <v>20</v>
      </c>
      <c r="D244" t="s">
        <v>31</v>
      </c>
      <c r="E244" t="s">
        <v>47</v>
      </c>
      <c r="F244" t="s">
        <v>30</v>
      </c>
      <c r="G244" s="1">
        <v>45294</v>
      </c>
      <c r="H244">
        <v>91</v>
      </c>
      <c r="I244">
        <v>59</v>
      </c>
      <c r="J244">
        <v>12</v>
      </c>
      <c r="K244">
        <v>44</v>
      </c>
      <c r="L244">
        <v>40</v>
      </c>
      <c r="M244">
        <v>224</v>
      </c>
      <c r="N244">
        <v>4</v>
      </c>
      <c r="O244">
        <v>1</v>
      </c>
      <c r="P244" t="s">
        <v>24</v>
      </c>
      <c r="Q244">
        <v>27</v>
      </c>
      <c r="R244" s="2">
        <v>9856</v>
      </c>
    </row>
    <row r="245" spans="1:18" x14ac:dyDescent="0.35">
      <c r="A245" t="s">
        <v>25</v>
      </c>
      <c r="B245" t="s">
        <v>26</v>
      </c>
      <c r="C245" t="s">
        <v>20</v>
      </c>
      <c r="D245" t="s">
        <v>37</v>
      </c>
      <c r="E245" t="s">
        <v>46</v>
      </c>
      <c r="F245" t="s">
        <v>30</v>
      </c>
      <c r="G245" s="1">
        <v>45295</v>
      </c>
      <c r="H245">
        <v>125</v>
      </c>
      <c r="I245">
        <v>5</v>
      </c>
      <c r="J245">
        <v>58</v>
      </c>
      <c r="K245">
        <v>178</v>
      </c>
      <c r="L245">
        <v>78</v>
      </c>
      <c r="M245">
        <v>1153</v>
      </c>
      <c r="N245">
        <v>7</v>
      </c>
      <c r="O245">
        <v>9</v>
      </c>
      <c r="P245" t="s">
        <v>24</v>
      </c>
      <c r="Q245">
        <v>43</v>
      </c>
      <c r="R245" s="2">
        <v>205234</v>
      </c>
    </row>
    <row r="246" spans="1:18" x14ac:dyDescent="0.35">
      <c r="A246" t="s">
        <v>25</v>
      </c>
      <c r="B246" t="s">
        <v>26</v>
      </c>
      <c r="C246" t="s">
        <v>20</v>
      </c>
      <c r="D246" t="s">
        <v>31</v>
      </c>
      <c r="E246" t="s">
        <v>32</v>
      </c>
      <c r="F246" t="s">
        <v>33</v>
      </c>
      <c r="G246" s="1">
        <v>45296</v>
      </c>
      <c r="H246">
        <v>163</v>
      </c>
      <c r="I246">
        <v>21</v>
      </c>
      <c r="J246">
        <v>28</v>
      </c>
      <c r="K246">
        <v>170</v>
      </c>
      <c r="L246">
        <v>97</v>
      </c>
      <c r="M246">
        <v>171</v>
      </c>
      <c r="N246">
        <v>6</v>
      </c>
      <c r="O246">
        <v>4</v>
      </c>
      <c r="P246" t="s">
        <v>24</v>
      </c>
      <c r="Q246">
        <v>49</v>
      </c>
      <c r="R246" s="2">
        <v>29070</v>
      </c>
    </row>
    <row r="247" spans="1:18" x14ac:dyDescent="0.35">
      <c r="A247" t="s">
        <v>25</v>
      </c>
      <c r="B247" t="s">
        <v>26</v>
      </c>
      <c r="C247" t="s">
        <v>20</v>
      </c>
      <c r="D247" t="s">
        <v>21</v>
      </c>
      <c r="E247" t="s">
        <v>27</v>
      </c>
      <c r="F247" t="s">
        <v>33</v>
      </c>
      <c r="G247" s="1">
        <v>45297</v>
      </c>
      <c r="H247">
        <v>162</v>
      </c>
      <c r="I247">
        <v>14</v>
      </c>
      <c r="J247">
        <v>71</v>
      </c>
      <c r="K247">
        <v>219</v>
      </c>
      <c r="L247">
        <v>88</v>
      </c>
      <c r="M247">
        <v>671</v>
      </c>
      <c r="N247">
        <v>7</v>
      </c>
      <c r="O247">
        <v>7</v>
      </c>
      <c r="P247" t="s">
        <v>24</v>
      </c>
      <c r="Q247">
        <v>26</v>
      </c>
      <c r="R247" s="2">
        <v>146949</v>
      </c>
    </row>
    <row r="248" spans="1:18" x14ac:dyDescent="0.35">
      <c r="A248" t="s">
        <v>41</v>
      </c>
      <c r="B248" t="s">
        <v>42</v>
      </c>
      <c r="C248" t="s">
        <v>20</v>
      </c>
      <c r="D248" t="s">
        <v>37</v>
      </c>
      <c r="E248" t="s">
        <v>46</v>
      </c>
      <c r="F248" t="s">
        <v>23</v>
      </c>
      <c r="G248" s="1">
        <v>45298</v>
      </c>
      <c r="H248">
        <v>182</v>
      </c>
      <c r="I248">
        <v>60</v>
      </c>
      <c r="J248">
        <v>13</v>
      </c>
      <c r="K248">
        <v>135</v>
      </c>
      <c r="L248">
        <v>61</v>
      </c>
      <c r="M248">
        <v>599</v>
      </c>
      <c r="N248">
        <v>13</v>
      </c>
      <c r="O248">
        <v>8</v>
      </c>
      <c r="P248" t="s">
        <v>24</v>
      </c>
      <c r="Q248">
        <v>35</v>
      </c>
      <c r="R248" s="2">
        <v>80865</v>
      </c>
    </row>
    <row r="249" spans="1:18" x14ac:dyDescent="0.35">
      <c r="A249" t="s">
        <v>41</v>
      </c>
      <c r="B249" t="s">
        <v>42</v>
      </c>
      <c r="C249" t="s">
        <v>20</v>
      </c>
      <c r="D249" t="s">
        <v>43</v>
      </c>
      <c r="E249" t="s">
        <v>48</v>
      </c>
      <c r="F249" t="s">
        <v>30</v>
      </c>
      <c r="G249" s="1">
        <v>45299</v>
      </c>
      <c r="H249">
        <v>259</v>
      </c>
      <c r="I249">
        <v>42</v>
      </c>
      <c r="J249">
        <v>0</v>
      </c>
      <c r="K249">
        <v>217</v>
      </c>
      <c r="L249">
        <v>89</v>
      </c>
      <c r="M249">
        <v>704</v>
      </c>
      <c r="N249">
        <v>11</v>
      </c>
      <c r="O249">
        <v>7</v>
      </c>
      <c r="P249" t="s">
        <v>24</v>
      </c>
      <c r="Q249">
        <v>15</v>
      </c>
      <c r="R249" s="2">
        <v>152768</v>
      </c>
    </row>
    <row r="250" spans="1:18" x14ac:dyDescent="0.35">
      <c r="A250" t="s">
        <v>34</v>
      </c>
      <c r="B250" t="s">
        <v>35</v>
      </c>
      <c r="C250" t="s">
        <v>20</v>
      </c>
      <c r="D250" t="s">
        <v>21</v>
      </c>
      <c r="E250" t="s">
        <v>27</v>
      </c>
      <c r="F250" t="s">
        <v>33</v>
      </c>
      <c r="G250" s="1">
        <v>45300</v>
      </c>
      <c r="H250">
        <v>249</v>
      </c>
      <c r="I250">
        <v>12</v>
      </c>
      <c r="J250">
        <v>24</v>
      </c>
      <c r="K250">
        <v>261</v>
      </c>
      <c r="L250">
        <v>63</v>
      </c>
      <c r="M250">
        <v>1169</v>
      </c>
      <c r="N250">
        <v>11</v>
      </c>
      <c r="O250">
        <v>8</v>
      </c>
      <c r="P250" t="s">
        <v>24</v>
      </c>
      <c r="Q250">
        <v>13</v>
      </c>
      <c r="R250" s="2">
        <v>305109</v>
      </c>
    </row>
    <row r="251" spans="1:18" x14ac:dyDescent="0.35">
      <c r="A251" t="s">
        <v>25</v>
      </c>
      <c r="B251" t="s">
        <v>26</v>
      </c>
      <c r="C251" t="s">
        <v>20</v>
      </c>
      <c r="D251" t="s">
        <v>39</v>
      </c>
      <c r="E251" t="s">
        <v>40</v>
      </c>
      <c r="F251" t="s">
        <v>30</v>
      </c>
      <c r="G251" s="1">
        <v>45301</v>
      </c>
      <c r="H251">
        <v>159</v>
      </c>
      <c r="I251">
        <v>60</v>
      </c>
      <c r="J251">
        <v>53</v>
      </c>
      <c r="K251">
        <v>152</v>
      </c>
      <c r="L251">
        <v>54</v>
      </c>
      <c r="M251">
        <v>584</v>
      </c>
      <c r="N251">
        <v>8</v>
      </c>
      <c r="O251">
        <v>2</v>
      </c>
      <c r="P251" t="s">
        <v>24</v>
      </c>
      <c r="Q251">
        <v>40</v>
      </c>
      <c r="R251" s="2">
        <v>88768</v>
      </c>
    </row>
    <row r="252" spans="1:18" x14ac:dyDescent="0.35">
      <c r="A252" t="s">
        <v>18</v>
      </c>
      <c r="B252" t="s">
        <v>19</v>
      </c>
      <c r="C252" t="s">
        <v>20</v>
      </c>
      <c r="D252" t="s">
        <v>37</v>
      </c>
      <c r="E252" t="s">
        <v>38</v>
      </c>
      <c r="F252" t="s">
        <v>30</v>
      </c>
      <c r="G252" s="1">
        <v>45302</v>
      </c>
      <c r="H252">
        <v>160</v>
      </c>
      <c r="I252">
        <v>28</v>
      </c>
      <c r="J252">
        <v>48</v>
      </c>
      <c r="K252">
        <v>180</v>
      </c>
      <c r="L252">
        <v>69</v>
      </c>
      <c r="M252">
        <v>90</v>
      </c>
      <c r="N252">
        <v>13</v>
      </c>
      <c r="O252">
        <v>3</v>
      </c>
      <c r="P252" t="s">
        <v>24</v>
      </c>
      <c r="Q252">
        <v>33</v>
      </c>
      <c r="R252" s="2">
        <v>16200</v>
      </c>
    </row>
    <row r="253" spans="1:18" x14ac:dyDescent="0.35">
      <c r="A253" t="s">
        <v>41</v>
      </c>
      <c r="B253" t="s">
        <v>42</v>
      </c>
      <c r="C253" t="s">
        <v>20</v>
      </c>
      <c r="D253" t="s">
        <v>37</v>
      </c>
      <c r="E253" t="s">
        <v>38</v>
      </c>
      <c r="F253" t="s">
        <v>30</v>
      </c>
      <c r="G253" s="1">
        <v>45303</v>
      </c>
      <c r="H253">
        <v>279</v>
      </c>
      <c r="I253">
        <v>8</v>
      </c>
      <c r="J253">
        <v>76</v>
      </c>
      <c r="K253">
        <v>347</v>
      </c>
      <c r="L253">
        <v>84</v>
      </c>
      <c r="M253">
        <v>478</v>
      </c>
      <c r="N253">
        <v>10</v>
      </c>
      <c r="O253">
        <v>3</v>
      </c>
      <c r="P253" t="s">
        <v>24</v>
      </c>
      <c r="Q253">
        <v>49</v>
      </c>
      <c r="R253" s="2">
        <v>165866</v>
      </c>
    </row>
    <row r="254" spans="1:18" x14ac:dyDescent="0.35">
      <c r="A254" t="s">
        <v>41</v>
      </c>
      <c r="B254" t="s">
        <v>42</v>
      </c>
      <c r="C254" t="s">
        <v>20</v>
      </c>
      <c r="D254" t="s">
        <v>31</v>
      </c>
      <c r="E254" t="s">
        <v>47</v>
      </c>
      <c r="F254" t="s">
        <v>30</v>
      </c>
      <c r="G254" s="1">
        <v>45304</v>
      </c>
      <c r="H254">
        <v>83</v>
      </c>
      <c r="I254">
        <v>30</v>
      </c>
      <c r="J254">
        <v>65</v>
      </c>
      <c r="K254">
        <v>118</v>
      </c>
      <c r="L254">
        <v>57</v>
      </c>
      <c r="M254">
        <v>389</v>
      </c>
      <c r="N254">
        <v>14</v>
      </c>
      <c r="O254">
        <v>4</v>
      </c>
      <c r="P254" t="s">
        <v>24</v>
      </c>
      <c r="Q254">
        <v>25</v>
      </c>
      <c r="R254" s="2">
        <v>45902</v>
      </c>
    </row>
    <row r="255" spans="1:18" x14ac:dyDescent="0.35">
      <c r="A255" t="s">
        <v>28</v>
      </c>
      <c r="B255" t="s">
        <v>29</v>
      </c>
      <c r="C255" t="s">
        <v>20</v>
      </c>
      <c r="D255" t="s">
        <v>39</v>
      </c>
      <c r="E255" t="s">
        <v>40</v>
      </c>
      <c r="F255" t="s">
        <v>33</v>
      </c>
      <c r="G255" s="1">
        <v>45305</v>
      </c>
      <c r="H255">
        <v>181</v>
      </c>
      <c r="I255">
        <v>45</v>
      </c>
      <c r="J255">
        <v>32</v>
      </c>
      <c r="K255">
        <v>168</v>
      </c>
      <c r="L255">
        <v>51</v>
      </c>
      <c r="M255">
        <v>972</v>
      </c>
      <c r="N255">
        <v>13</v>
      </c>
      <c r="O255">
        <v>2</v>
      </c>
      <c r="P255" t="s">
        <v>24</v>
      </c>
      <c r="Q255">
        <v>19</v>
      </c>
      <c r="R255" s="2">
        <v>163296</v>
      </c>
    </row>
    <row r="256" spans="1:18" x14ac:dyDescent="0.35">
      <c r="A256" t="s">
        <v>28</v>
      </c>
      <c r="B256" t="s">
        <v>29</v>
      </c>
      <c r="C256" t="s">
        <v>20</v>
      </c>
      <c r="D256" t="s">
        <v>39</v>
      </c>
      <c r="E256" t="s">
        <v>40</v>
      </c>
      <c r="F256" t="s">
        <v>30</v>
      </c>
      <c r="G256" s="1">
        <v>45306</v>
      </c>
      <c r="H256">
        <v>115</v>
      </c>
      <c r="I256">
        <v>40</v>
      </c>
      <c r="J256">
        <v>70</v>
      </c>
      <c r="K256">
        <v>145</v>
      </c>
      <c r="L256">
        <v>42</v>
      </c>
      <c r="M256">
        <v>372</v>
      </c>
      <c r="N256">
        <v>8</v>
      </c>
      <c r="O256">
        <v>5</v>
      </c>
      <c r="P256" t="s">
        <v>24</v>
      </c>
      <c r="Q256">
        <v>50</v>
      </c>
      <c r="R256" s="2">
        <v>53940</v>
      </c>
    </row>
    <row r="257" spans="1:18" x14ac:dyDescent="0.35">
      <c r="A257" t="s">
        <v>28</v>
      </c>
      <c r="B257" t="s">
        <v>29</v>
      </c>
      <c r="C257" t="s">
        <v>20</v>
      </c>
      <c r="D257" t="s">
        <v>31</v>
      </c>
      <c r="E257" t="s">
        <v>32</v>
      </c>
      <c r="F257" t="s">
        <v>30</v>
      </c>
      <c r="G257" s="1">
        <v>45307</v>
      </c>
      <c r="H257">
        <v>65</v>
      </c>
      <c r="I257">
        <v>55</v>
      </c>
      <c r="J257">
        <v>15</v>
      </c>
      <c r="K257">
        <v>25</v>
      </c>
      <c r="L257">
        <v>83</v>
      </c>
      <c r="M257">
        <v>396</v>
      </c>
      <c r="N257">
        <v>7</v>
      </c>
      <c r="O257">
        <v>9</v>
      </c>
      <c r="P257" t="s">
        <v>36</v>
      </c>
      <c r="Q257">
        <v>61</v>
      </c>
      <c r="R257" s="2">
        <v>9900</v>
      </c>
    </row>
    <row r="258" spans="1:18" x14ac:dyDescent="0.35">
      <c r="A258" t="s">
        <v>28</v>
      </c>
      <c r="B258" t="s">
        <v>29</v>
      </c>
      <c r="C258" t="s">
        <v>20</v>
      </c>
      <c r="D258" t="s">
        <v>43</v>
      </c>
      <c r="E258" t="s">
        <v>44</v>
      </c>
      <c r="F258" t="s">
        <v>30</v>
      </c>
      <c r="G258" s="1">
        <v>45308</v>
      </c>
      <c r="H258">
        <v>264</v>
      </c>
      <c r="I258">
        <v>58</v>
      </c>
      <c r="J258">
        <v>54</v>
      </c>
      <c r="K258">
        <v>260</v>
      </c>
      <c r="L258">
        <v>46</v>
      </c>
      <c r="M258">
        <v>917</v>
      </c>
      <c r="N258">
        <v>9</v>
      </c>
      <c r="O258">
        <v>0</v>
      </c>
      <c r="P258" t="s">
        <v>24</v>
      </c>
      <c r="Q258">
        <v>40</v>
      </c>
      <c r="R258" s="2">
        <v>238420</v>
      </c>
    </row>
    <row r="259" spans="1:18" x14ac:dyDescent="0.35">
      <c r="A259" t="s">
        <v>18</v>
      </c>
      <c r="B259" t="s">
        <v>19</v>
      </c>
      <c r="C259" t="s">
        <v>20</v>
      </c>
      <c r="D259" t="s">
        <v>39</v>
      </c>
      <c r="E259" t="s">
        <v>40</v>
      </c>
      <c r="F259" t="s">
        <v>33</v>
      </c>
      <c r="G259" s="1">
        <v>45309</v>
      </c>
      <c r="H259">
        <v>296</v>
      </c>
      <c r="I259">
        <v>49</v>
      </c>
      <c r="J259">
        <v>1</v>
      </c>
      <c r="K259">
        <v>248</v>
      </c>
      <c r="L259">
        <v>92</v>
      </c>
      <c r="M259">
        <v>571</v>
      </c>
      <c r="N259">
        <v>14</v>
      </c>
      <c r="O259">
        <v>6</v>
      </c>
      <c r="P259" t="s">
        <v>24</v>
      </c>
      <c r="Q259">
        <v>20</v>
      </c>
      <c r="R259" s="2">
        <v>141608</v>
      </c>
    </row>
    <row r="260" spans="1:18" x14ac:dyDescent="0.35">
      <c r="A260" t="s">
        <v>18</v>
      </c>
      <c r="B260" t="s">
        <v>19</v>
      </c>
      <c r="C260" t="s">
        <v>20</v>
      </c>
      <c r="D260" t="s">
        <v>43</v>
      </c>
      <c r="E260" t="s">
        <v>48</v>
      </c>
      <c r="F260" t="s">
        <v>30</v>
      </c>
      <c r="G260" s="1">
        <v>45310</v>
      </c>
      <c r="H260">
        <v>53</v>
      </c>
      <c r="I260">
        <v>31</v>
      </c>
      <c r="J260">
        <v>53</v>
      </c>
      <c r="K260">
        <v>75</v>
      </c>
      <c r="L260">
        <v>73</v>
      </c>
      <c r="M260">
        <v>752</v>
      </c>
      <c r="N260">
        <v>5</v>
      </c>
      <c r="O260">
        <v>1</v>
      </c>
      <c r="P260" t="s">
        <v>24</v>
      </c>
      <c r="Q260">
        <v>28</v>
      </c>
      <c r="R260" s="2">
        <v>56400</v>
      </c>
    </row>
    <row r="261" spans="1:18" x14ac:dyDescent="0.35">
      <c r="A261" t="s">
        <v>34</v>
      </c>
      <c r="B261" t="s">
        <v>35</v>
      </c>
      <c r="C261" t="s">
        <v>20</v>
      </c>
      <c r="D261" t="s">
        <v>43</v>
      </c>
      <c r="E261" t="s">
        <v>44</v>
      </c>
      <c r="F261" t="s">
        <v>23</v>
      </c>
      <c r="G261" s="1">
        <v>45311</v>
      </c>
      <c r="H261">
        <v>129</v>
      </c>
      <c r="I261">
        <v>47</v>
      </c>
      <c r="J261">
        <v>11</v>
      </c>
      <c r="K261">
        <v>93</v>
      </c>
      <c r="L261">
        <v>62</v>
      </c>
      <c r="M261">
        <v>781</v>
      </c>
      <c r="N261">
        <v>12</v>
      </c>
      <c r="O261">
        <v>8</v>
      </c>
      <c r="P261" t="s">
        <v>24</v>
      </c>
      <c r="Q261">
        <v>46</v>
      </c>
      <c r="R261" s="2">
        <v>72633</v>
      </c>
    </row>
    <row r="262" spans="1:18" x14ac:dyDescent="0.35">
      <c r="A262" t="s">
        <v>34</v>
      </c>
      <c r="B262" t="s">
        <v>35</v>
      </c>
      <c r="C262" t="s">
        <v>20</v>
      </c>
      <c r="D262" t="s">
        <v>37</v>
      </c>
      <c r="E262" t="s">
        <v>46</v>
      </c>
      <c r="F262" t="s">
        <v>33</v>
      </c>
      <c r="G262" s="1">
        <v>45312</v>
      </c>
      <c r="H262">
        <v>127</v>
      </c>
      <c r="I262">
        <v>15</v>
      </c>
      <c r="J262">
        <v>39</v>
      </c>
      <c r="K262">
        <v>151</v>
      </c>
      <c r="L262">
        <v>79</v>
      </c>
      <c r="M262">
        <v>1177</v>
      </c>
      <c r="N262">
        <v>14</v>
      </c>
      <c r="O262">
        <v>8</v>
      </c>
      <c r="P262" t="s">
        <v>24</v>
      </c>
      <c r="Q262">
        <v>30</v>
      </c>
      <c r="R262" s="2">
        <v>177727</v>
      </c>
    </row>
    <row r="263" spans="1:18" x14ac:dyDescent="0.35">
      <c r="A263" t="s">
        <v>41</v>
      </c>
      <c r="B263" t="s">
        <v>42</v>
      </c>
      <c r="C263" t="s">
        <v>20</v>
      </c>
      <c r="D263" t="s">
        <v>21</v>
      </c>
      <c r="E263" t="s">
        <v>22</v>
      </c>
      <c r="F263" t="s">
        <v>30</v>
      </c>
      <c r="G263" s="1">
        <v>45313</v>
      </c>
      <c r="H263">
        <v>220</v>
      </c>
      <c r="I263">
        <v>26</v>
      </c>
      <c r="J263">
        <v>79</v>
      </c>
      <c r="K263">
        <v>273</v>
      </c>
      <c r="L263">
        <v>47</v>
      </c>
      <c r="M263">
        <v>689</v>
      </c>
      <c r="N263">
        <v>14</v>
      </c>
      <c r="O263">
        <v>1</v>
      </c>
      <c r="P263" t="s">
        <v>24</v>
      </c>
      <c r="Q263">
        <v>21</v>
      </c>
      <c r="R263" s="2">
        <v>188097</v>
      </c>
    </row>
    <row r="264" spans="1:18" x14ac:dyDescent="0.35">
      <c r="A264" t="s">
        <v>18</v>
      </c>
      <c r="B264" t="s">
        <v>19</v>
      </c>
      <c r="C264" t="s">
        <v>20</v>
      </c>
      <c r="D264" t="s">
        <v>37</v>
      </c>
      <c r="E264" t="s">
        <v>38</v>
      </c>
      <c r="F264" t="s">
        <v>33</v>
      </c>
      <c r="G264" s="1">
        <v>45314</v>
      </c>
      <c r="H264">
        <v>57</v>
      </c>
      <c r="I264">
        <v>60</v>
      </c>
      <c r="J264">
        <v>32</v>
      </c>
      <c r="K264">
        <v>29</v>
      </c>
      <c r="L264">
        <v>50</v>
      </c>
      <c r="M264">
        <v>258</v>
      </c>
      <c r="N264">
        <v>7</v>
      </c>
      <c r="O264">
        <v>6</v>
      </c>
      <c r="P264" t="s">
        <v>36</v>
      </c>
      <c r="Q264">
        <v>17</v>
      </c>
      <c r="R264" s="2">
        <v>7482</v>
      </c>
    </row>
    <row r="265" spans="1:18" x14ac:dyDescent="0.35">
      <c r="A265" t="s">
        <v>18</v>
      </c>
      <c r="B265" t="s">
        <v>19</v>
      </c>
      <c r="C265" t="s">
        <v>20</v>
      </c>
      <c r="D265" t="s">
        <v>31</v>
      </c>
      <c r="E265" t="s">
        <v>32</v>
      </c>
      <c r="F265" t="s">
        <v>33</v>
      </c>
      <c r="G265" s="1">
        <v>45315</v>
      </c>
      <c r="H265">
        <v>175</v>
      </c>
      <c r="I265">
        <v>58</v>
      </c>
      <c r="J265">
        <v>46</v>
      </c>
      <c r="K265">
        <v>163</v>
      </c>
      <c r="L265">
        <v>95</v>
      </c>
      <c r="M265">
        <v>728</v>
      </c>
      <c r="N265">
        <v>14</v>
      </c>
      <c r="O265">
        <v>1</v>
      </c>
      <c r="P265" t="s">
        <v>24</v>
      </c>
      <c r="Q265">
        <v>24</v>
      </c>
      <c r="R265" s="2">
        <v>118664</v>
      </c>
    </row>
    <row r="266" spans="1:18" x14ac:dyDescent="0.35">
      <c r="A266" t="s">
        <v>41</v>
      </c>
      <c r="B266" t="s">
        <v>42</v>
      </c>
      <c r="C266" t="s">
        <v>20</v>
      </c>
      <c r="D266" t="s">
        <v>31</v>
      </c>
      <c r="E266" t="s">
        <v>32</v>
      </c>
      <c r="F266" t="s">
        <v>30</v>
      </c>
      <c r="G266" s="1">
        <v>45316</v>
      </c>
      <c r="H266">
        <v>203</v>
      </c>
      <c r="I266">
        <v>43</v>
      </c>
      <c r="J266">
        <v>28</v>
      </c>
      <c r="K266">
        <v>188</v>
      </c>
      <c r="L266">
        <v>47</v>
      </c>
      <c r="M266">
        <v>346</v>
      </c>
      <c r="N266">
        <v>7</v>
      </c>
      <c r="O266">
        <v>4</v>
      </c>
      <c r="P266" t="s">
        <v>24</v>
      </c>
      <c r="Q266">
        <v>27</v>
      </c>
      <c r="R266" s="2">
        <v>65048</v>
      </c>
    </row>
    <row r="267" spans="1:18" x14ac:dyDescent="0.35">
      <c r="A267" t="s">
        <v>41</v>
      </c>
      <c r="B267" t="s">
        <v>42</v>
      </c>
      <c r="C267" t="s">
        <v>20</v>
      </c>
      <c r="D267" t="s">
        <v>39</v>
      </c>
      <c r="E267" t="s">
        <v>40</v>
      </c>
      <c r="F267" t="s">
        <v>30</v>
      </c>
      <c r="G267" s="1">
        <v>45317</v>
      </c>
      <c r="H267">
        <v>213</v>
      </c>
      <c r="I267">
        <v>51</v>
      </c>
      <c r="J267">
        <v>9</v>
      </c>
      <c r="K267">
        <v>171</v>
      </c>
      <c r="L267">
        <v>87</v>
      </c>
      <c r="M267">
        <v>1026</v>
      </c>
      <c r="N267">
        <v>2</v>
      </c>
      <c r="O267">
        <v>4</v>
      </c>
      <c r="P267" t="s">
        <v>24</v>
      </c>
      <c r="Q267">
        <v>26</v>
      </c>
      <c r="R267" s="2">
        <v>175446</v>
      </c>
    </row>
    <row r="268" spans="1:18" x14ac:dyDescent="0.35">
      <c r="A268" t="s">
        <v>28</v>
      </c>
      <c r="B268" t="s">
        <v>29</v>
      </c>
      <c r="C268" t="s">
        <v>20</v>
      </c>
      <c r="D268" t="s">
        <v>21</v>
      </c>
      <c r="E268" t="s">
        <v>27</v>
      </c>
      <c r="F268" t="s">
        <v>33</v>
      </c>
      <c r="G268" s="1">
        <v>45318</v>
      </c>
      <c r="H268">
        <v>54</v>
      </c>
      <c r="I268">
        <v>50</v>
      </c>
      <c r="J268">
        <v>4</v>
      </c>
      <c r="K268">
        <v>8</v>
      </c>
      <c r="L268">
        <v>53</v>
      </c>
      <c r="M268">
        <v>1458</v>
      </c>
      <c r="N268">
        <v>5</v>
      </c>
      <c r="O268">
        <v>4</v>
      </c>
      <c r="P268" t="s">
        <v>36</v>
      </c>
      <c r="Q268">
        <v>35</v>
      </c>
      <c r="R268" s="2">
        <v>11664</v>
      </c>
    </row>
    <row r="269" spans="1:18" x14ac:dyDescent="0.35">
      <c r="A269" t="s">
        <v>34</v>
      </c>
      <c r="B269" t="s">
        <v>35</v>
      </c>
      <c r="C269" t="s">
        <v>20</v>
      </c>
      <c r="D269" t="s">
        <v>21</v>
      </c>
      <c r="E269" t="s">
        <v>27</v>
      </c>
      <c r="F269" t="s">
        <v>23</v>
      </c>
      <c r="G269" s="1">
        <v>45319</v>
      </c>
      <c r="H269">
        <v>145</v>
      </c>
      <c r="I269">
        <v>59</v>
      </c>
      <c r="J269">
        <v>68</v>
      </c>
      <c r="K269">
        <v>154</v>
      </c>
      <c r="L269">
        <v>66</v>
      </c>
      <c r="M269">
        <v>924</v>
      </c>
      <c r="N269">
        <v>7</v>
      </c>
      <c r="O269">
        <v>10</v>
      </c>
      <c r="P269" t="s">
        <v>24</v>
      </c>
      <c r="Q269">
        <v>70</v>
      </c>
      <c r="R269" s="2">
        <v>142296</v>
      </c>
    </row>
    <row r="270" spans="1:18" x14ac:dyDescent="0.35">
      <c r="A270" t="s">
        <v>41</v>
      </c>
      <c r="B270" t="s">
        <v>42</v>
      </c>
      <c r="C270" t="s">
        <v>20</v>
      </c>
      <c r="D270" t="s">
        <v>31</v>
      </c>
      <c r="E270" t="s">
        <v>32</v>
      </c>
      <c r="F270" t="s">
        <v>23</v>
      </c>
      <c r="G270" s="1">
        <v>45320</v>
      </c>
      <c r="H270">
        <v>76</v>
      </c>
      <c r="I270">
        <v>16</v>
      </c>
      <c r="J270">
        <v>39</v>
      </c>
      <c r="K270">
        <v>99</v>
      </c>
      <c r="L270">
        <v>99</v>
      </c>
      <c r="M270">
        <v>1018</v>
      </c>
      <c r="N270">
        <v>9</v>
      </c>
      <c r="O270">
        <v>7</v>
      </c>
      <c r="P270" t="s">
        <v>36</v>
      </c>
      <c r="Q270">
        <v>44</v>
      </c>
      <c r="R270" s="2">
        <v>100782</v>
      </c>
    </row>
    <row r="271" spans="1:18" x14ac:dyDescent="0.35">
      <c r="A271" t="s">
        <v>25</v>
      </c>
      <c r="B271" t="s">
        <v>26</v>
      </c>
      <c r="C271" t="s">
        <v>20</v>
      </c>
      <c r="D271" t="s">
        <v>31</v>
      </c>
      <c r="E271" t="s">
        <v>47</v>
      </c>
      <c r="F271" t="s">
        <v>33</v>
      </c>
      <c r="G271" s="1">
        <v>45321</v>
      </c>
      <c r="H271">
        <v>106</v>
      </c>
      <c r="I271">
        <v>40</v>
      </c>
      <c r="J271">
        <v>64</v>
      </c>
      <c r="K271">
        <v>130</v>
      </c>
      <c r="L271">
        <v>44</v>
      </c>
      <c r="M271">
        <v>272</v>
      </c>
      <c r="N271">
        <v>12</v>
      </c>
      <c r="O271">
        <v>5</v>
      </c>
      <c r="P271" t="s">
        <v>24</v>
      </c>
      <c r="Q271">
        <v>20</v>
      </c>
      <c r="R271" s="2">
        <v>35360</v>
      </c>
    </row>
    <row r="272" spans="1:18" x14ac:dyDescent="0.35">
      <c r="A272" t="s">
        <v>28</v>
      </c>
      <c r="B272" t="s">
        <v>29</v>
      </c>
      <c r="C272" t="s">
        <v>20</v>
      </c>
      <c r="D272" t="s">
        <v>43</v>
      </c>
      <c r="E272" t="s">
        <v>48</v>
      </c>
      <c r="F272" t="s">
        <v>30</v>
      </c>
      <c r="G272" s="1">
        <v>45322</v>
      </c>
      <c r="H272">
        <v>156</v>
      </c>
      <c r="I272">
        <v>14</v>
      </c>
      <c r="J272">
        <v>49</v>
      </c>
      <c r="K272">
        <v>191</v>
      </c>
      <c r="L272">
        <v>92</v>
      </c>
      <c r="M272">
        <v>759</v>
      </c>
      <c r="N272">
        <v>8</v>
      </c>
      <c r="O272">
        <v>3</v>
      </c>
      <c r="P272" t="s">
        <v>24</v>
      </c>
      <c r="Q272">
        <v>15</v>
      </c>
      <c r="R272" s="2">
        <v>144969</v>
      </c>
    </row>
    <row r="273" spans="1:18" x14ac:dyDescent="0.35">
      <c r="A273" t="s">
        <v>34</v>
      </c>
      <c r="B273" t="s">
        <v>35</v>
      </c>
      <c r="C273" t="s">
        <v>20</v>
      </c>
      <c r="D273" t="s">
        <v>31</v>
      </c>
      <c r="E273" t="s">
        <v>32</v>
      </c>
      <c r="F273" t="s">
        <v>23</v>
      </c>
      <c r="G273" s="1">
        <v>45323</v>
      </c>
      <c r="H273">
        <v>260</v>
      </c>
      <c r="I273">
        <v>54</v>
      </c>
      <c r="J273">
        <v>35</v>
      </c>
      <c r="K273">
        <v>241</v>
      </c>
      <c r="L273">
        <v>78</v>
      </c>
      <c r="M273">
        <v>853</v>
      </c>
      <c r="N273">
        <v>12</v>
      </c>
      <c r="O273">
        <v>4</v>
      </c>
      <c r="P273" t="s">
        <v>24</v>
      </c>
      <c r="Q273">
        <v>30</v>
      </c>
      <c r="R273" s="2">
        <v>205573</v>
      </c>
    </row>
    <row r="274" spans="1:18" x14ac:dyDescent="0.35">
      <c r="A274" t="s">
        <v>34</v>
      </c>
      <c r="B274" t="s">
        <v>35</v>
      </c>
      <c r="C274" t="s">
        <v>20</v>
      </c>
      <c r="D274" t="s">
        <v>21</v>
      </c>
      <c r="E274" t="s">
        <v>27</v>
      </c>
      <c r="F274" t="s">
        <v>33</v>
      </c>
      <c r="G274" s="1">
        <v>45324</v>
      </c>
      <c r="H274">
        <v>168</v>
      </c>
      <c r="I274">
        <v>57</v>
      </c>
      <c r="J274">
        <v>30</v>
      </c>
      <c r="K274">
        <v>141</v>
      </c>
      <c r="L274">
        <v>88</v>
      </c>
      <c r="M274">
        <v>1431</v>
      </c>
      <c r="N274">
        <v>10</v>
      </c>
      <c r="O274">
        <v>2</v>
      </c>
      <c r="P274" t="s">
        <v>24</v>
      </c>
      <c r="Q274">
        <v>15</v>
      </c>
      <c r="R274" s="2">
        <v>201771</v>
      </c>
    </row>
    <row r="275" spans="1:18" x14ac:dyDescent="0.35">
      <c r="A275" t="s">
        <v>34</v>
      </c>
      <c r="B275" t="s">
        <v>35</v>
      </c>
      <c r="C275" t="s">
        <v>20</v>
      </c>
      <c r="D275" t="s">
        <v>31</v>
      </c>
      <c r="E275" t="s">
        <v>47</v>
      </c>
      <c r="F275" t="s">
        <v>30</v>
      </c>
      <c r="G275" s="1">
        <v>45325</v>
      </c>
      <c r="H275">
        <v>120</v>
      </c>
      <c r="I275">
        <v>45</v>
      </c>
      <c r="J275">
        <v>56</v>
      </c>
      <c r="K275">
        <v>131</v>
      </c>
      <c r="L275">
        <v>99</v>
      </c>
      <c r="M275">
        <v>677</v>
      </c>
      <c r="N275">
        <v>13</v>
      </c>
      <c r="O275">
        <v>8</v>
      </c>
      <c r="P275" t="s">
        <v>24</v>
      </c>
      <c r="Q275">
        <v>62</v>
      </c>
      <c r="R275" s="2">
        <v>88687</v>
      </c>
    </row>
    <row r="276" spans="1:18" x14ac:dyDescent="0.35">
      <c r="A276" t="s">
        <v>25</v>
      </c>
      <c r="B276" t="s">
        <v>26</v>
      </c>
      <c r="C276" t="s">
        <v>20</v>
      </c>
      <c r="D276" t="s">
        <v>39</v>
      </c>
      <c r="E276" t="s">
        <v>45</v>
      </c>
      <c r="F276" t="s">
        <v>30</v>
      </c>
      <c r="G276" s="1">
        <v>45326</v>
      </c>
      <c r="H276">
        <v>131</v>
      </c>
      <c r="I276">
        <v>26</v>
      </c>
      <c r="J276">
        <v>31</v>
      </c>
      <c r="K276">
        <v>136</v>
      </c>
      <c r="L276">
        <v>51</v>
      </c>
      <c r="M276">
        <v>1417</v>
      </c>
      <c r="N276">
        <v>10</v>
      </c>
      <c r="O276">
        <v>4</v>
      </c>
      <c r="P276" t="s">
        <v>24</v>
      </c>
      <c r="Q276">
        <v>53</v>
      </c>
      <c r="R276" s="2">
        <v>192712</v>
      </c>
    </row>
    <row r="277" spans="1:18" x14ac:dyDescent="0.35">
      <c r="A277" t="s">
        <v>34</v>
      </c>
      <c r="B277" t="s">
        <v>35</v>
      </c>
      <c r="C277" t="s">
        <v>20</v>
      </c>
      <c r="D277" t="s">
        <v>43</v>
      </c>
      <c r="E277" t="s">
        <v>44</v>
      </c>
      <c r="F277" t="s">
        <v>30</v>
      </c>
      <c r="G277" s="1">
        <v>45327</v>
      </c>
      <c r="H277">
        <v>243</v>
      </c>
      <c r="I277">
        <v>55</v>
      </c>
      <c r="J277">
        <v>48</v>
      </c>
      <c r="K277">
        <v>236</v>
      </c>
      <c r="L277">
        <v>89</v>
      </c>
      <c r="M277">
        <v>313</v>
      </c>
      <c r="N277">
        <v>5</v>
      </c>
      <c r="O277">
        <v>10</v>
      </c>
      <c r="P277" t="s">
        <v>24</v>
      </c>
      <c r="Q277">
        <v>34</v>
      </c>
      <c r="R277" s="2">
        <v>73868</v>
      </c>
    </row>
    <row r="278" spans="1:18" x14ac:dyDescent="0.35">
      <c r="A278" t="s">
        <v>18</v>
      </c>
      <c r="B278" t="s">
        <v>19</v>
      </c>
      <c r="C278" t="s">
        <v>20</v>
      </c>
      <c r="D278" t="s">
        <v>21</v>
      </c>
      <c r="E278" t="s">
        <v>22</v>
      </c>
      <c r="F278" t="s">
        <v>30</v>
      </c>
      <c r="G278" s="1">
        <v>45328</v>
      </c>
      <c r="H278">
        <v>185</v>
      </c>
      <c r="I278">
        <v>41</v>
      </c>
      <c r="J278">
        <v>12</v>
      </c>
      <c r="K278">
        <v>156</v>
      </c>
      <c r="L278">
        <v>55</v>
      </c>
      <c r="M278">
        <v>868</v>
      </c>
      <c r="N278">
        <v>9</v>
      </c>
      <c r="O278">
        <v>3</v>
      </c>
      <c r="P278" t="s">
        <v>24</v>
      </c>
      <c r="Q278">
        <v>34</v>
      </c>
      <c r="R278" s="2">
        <v>135408</v>
      </c>
    </row>
    <row r="279" spans="1:18" x14ac:dyDescent="0.35">
      <c r="A279" t="s">
        <v>28</v>
      </c>
      <c r="B279" t="s">
        <v>29</v>
      </c>
      <c r="C279" t="s">
        <v>20</v>
      </c>
      <c r="D279" t="s">
        <v>43</v>
      </c>
      <c r="E279" t="s">
        <v>48</v>
      </c>
      <c r="F279" t="s">
        <v>30</v>
      </c>
      <c r="G279" s="1">
        <v>45329</v>
      </c>
      <c r="H279">
        <v>209</v>
      </c>
      <c r="I279">
        <v>59</v>
      </c>
      <c r="J279">
        <v>35</v>
      </c>
      <c r="K279">
        <v>185</v>
      </c>
      <c r="L279">
        <v>40</v>
      </c>
      <c r="M279">
        <v>1362</v>
      </c>
      <c r="N279">
        <v>11</v>
      </c>
      <c r="O279">
        <v>6</v>
      </c>
      <c r="P279" t="s">
        <v>24</v>
      </c>
      <c r="Q279">
        <v>42</v>
      </c>
      <c r="R279" s="2">
        <v>251970</v>
      </c>
    </row>
    <row r="280" spans="1:18" x14ac:dyDescent="0.35">
      <c r="A280" t="s">
        <v>18</v>
      </c>
      <c r="B280" t="s">
        <v>19</v>
      </c>
      <c r="C280" t="s">
        <v>20</v>
      </c>
      <c r="D280" t="s">
        <v>39</v>
      </c>
      <c r="E280" t="s">
        <v>40</v>
      </c>
      <c r="F280" t="s">
        <v>23</v>
      </c>
      <c r="G280" s="1">
        <v>45330</v>
      </c>
      <c r="H280">
        <v>261</v>
      </c>
      <c r="I280">
        <v>60</v>
      </c>
      <c r="J280">
        <v>54</v>
      </c>
      <c r="K280">
        <v>255</v>
      </c>
      <c r="L280">
        <v>41</v>
      </c>
      <c r="M280">
        <v>724</v>
      </c>
      <c r="N280">
        <v>15</v>
      </c>
      <c r="O280">
        <v>1</v>
      </c>
      <c r="P280" t="s">
        <v>24</v>
      </c>
      <c r="Q280">
        <v>62</v>
      </c>
      <c r="R280" s="2">
        <v>184620</v>
      </c>
    </row>
    <row r="281" spans="1:18" x14ac:dyDescent="0.35">
      <c r="A281" t="s">
        <v>41</v>
      </c>
      <c r="B281" t="s">
        <v>42</v>
      </c>
      <c r="C281" t="s">
        <v>20</v>
      </c>
      <c r="D281" t="s">
        <v>43</v>
      </c>
      <c r="E281" t="s">
        <v>48</v>
      </c>
      <c r="F281" t="s">
        <v>33</v>
      </c>
      <c r="G281" s="1">
        <v>45331</v>
      </c>
      <c r="H281">
        <v>213</v>
      </c>
      <c r="I281">
        <v>29</v>
      </c>
      <c r="J281">
        <v>52</v>
      </c>
      <c r="K281">
        <v>236</v>
      </c>
      <c r="L281">
        <v>42</v>
      </c>
      <c r="M281">
        <v>961</v>
      </c>
      <c r="N281">
        <v>15</v>
      </c>
      <c r="O281">
        <v>8</v>
      </c>
      <c r="P281" t="s">
        <v>24</v>
      </c>
      <c r="Q281">
        <v>33</v>
      </c>
      <c r="R281" s="2">
        <v>226796</v>
      </c>
    </row>
    <row r="282" spans="1:18" x14ac:dyDescent="0.35">
      <c r="A282" t="s">
        <v>28</v>
      </c>
      <c r="B282" t="s">
        <v>29</v>
      </c>
      <c r="C282" t="s">
        <v>20</v>
      </c>
      <c r="D282" t="s">
        <v>31</v>
      </c>
      <c r="E282" t="s">
        <v>32</v>
      </c>
      <c r="F282" t="s">
        <v>30</v>
      </c>
      <c r="G282" s="1">
        <v>45332</v>
      </c>
      <c r="H282">
        <v>291</v>
      </c>
      <c r="I282">
        <v>25</v>
      </c>
      <c r="J282">
        <v>14</v>
      </c>
      <c r="K282">
        <v>280</v>
      </c>
      <c r="L282">
        <v>52</v>
      </c>
      <c r="M282">
        <v>813</v>
      </c>
      <c r="N282">
        <v>2</v>
      </c>
      <c r="O282">
        <v>1</v>
      </c>
      <c r="P282" t="s">
        <v>24</v>
      </c>
      <c r="Q282">
        <v>21</v>
      </c>
      <c r="R282" s="2">
        <v>227640</v>
      </c>
    </row>
    <row r="283" spans="1:18" x14ac:dyDescent="0.35">
      <c r="A283" t="s">
        <v>18</v>
      </c>
      <c r="B283" t="s">
        <v>19</v>
      </c>
      <c r="C283" t="s">
        <v>20</v>
      </c>
      <c r="D283" t="s">
        <v>31</v>
      </c>
      <c r="E283" t="s">
        <v>32</v>
      </c>
      <c r="F283" t="s">
        <v>23</v>
      </c>
      <c r="G283" s="1">
        <v>45333</v>
      </c>
      <c r="H283">
        <v>266</v>
      </c>
      <c r="I283">
        <v>52</v>
      </c>
      <c r="J283">
        <v>31</v>
      </c>
      <c r="K283">
        <v>245</v>
      </c>
      <c r="L283">
        <v>53</v>
      </c>
      <c r="M283">
        <v>252</v>
      </c>
      <c r="N283">
        <v>12</v>
      </c>
      <c r="O283">
        <v>2</v>
      </c>
      <c r="P283" t="s">
        <v>24</v>
      </c>
      <c r="Q283">
        <v>29</v>
      </c>
      <c r="R283" s="2">
        <v>61740</v>
      </c>
    </row>
    <row r="284" spans="1:18" x14ac:dyDescent="0.35">
      <c r="A284" t="s">
        <v>18</v>
      </c>
      <c r="B284" t="s">
        <v>19</v>
      </c>
      <c r="C284" t="s">
        <v>20</v>
      </c>
      <c r="D284" t="s">
        <v>21</v>
      </c>
      <c r="E284" t="s">
        <v>22</v>
      </c>
      <c r="F284" t="s">
        <v>30</v>
      </c>
      <c r="G284" s="1">
        <v>45334</v>
      </c>
      <c r="H284">
        <v>68</v>
      </c>
      <c r="I284">
        <v>28</v>
      </c>
      <c r="J284">
        <v>60</v>
      </c>
      <c r="K284">
        <v>100</v>
      </c>
      <c r="L284">
        <v>46</v>
      </c>
      <c r="M284">
        <v>1370</v>
      </c>
      <c r="N284">
        <v>12</v>
      </c>
      <c r="O284">
        <v>1</v>
      </c>
      <c r="P284" t="s">
        <v>24</v>
      </c>
      <c r="Q284">
        <v>33</v>
      </c>
      <c r="R284" s="2">
        <v>137000</v>
      </c>
    </row>
    <row r="285" spans="1:18" x14ac:dyDescent="0.35">
      <c r="A285" t="s">
        <v>34</v>
      </c>
      <c r="B285" t="s">
        <v>35</v>
      </c>
      <c r="C285" t="s">
        <v>20</v>
      </c>
      <c r="D285" t="s">
        <v>37</v>
      </c>
      <c r="E285" t="s">
        <v>46</v>
      </c>
      <c r="F285" t="s">
        <v>30</v>
      </c>
      <c r="G285" s="1">
        <v>45335</v>
      </c>
      <c r="H285">
        <v>249</v>
      </c>
      <c r="I285">
        <v>51</v>
      </c>
      <c r="J285">
        <v>39</v>
      </c>
      <c r="K285">
        <v>237</v>
      </c>
      <c r="L285">
        <v>72</v>
      </c>
      <c r="M285">
        <v>593</v>
      </c>
      <c r="N285">
        <v>10</v>
      </c>
      <c r="O285">
        <v>0</v>
      </c>
      <c r="P285" t="s">
        <v>24</v>
      </c>
      <c r="Q285">
        <v>27</v>
      </c>
      <c r="R285" s="2">
        <v>140541</v>
      </c>
    </row>
    <row r="286" spans="1:18" x14ac:dyDescent="0.35">
      <c r="A286" t="s">
        <v>18</v>
      </c>
      <c r="B286" t="s">
        <v>19</v>
      </c>
      <c r="C286" t="s">
        <v>20</v>
      </c>
      <c r="D286" t="s">
        <v>43</v>
      </c>
      <c r="E286" t="s">
        <v>48</v>
      </c>
      <c r="F286" t="s">
        <v>33</v>
      </c>
      <c r="G286" s="1">
        <v>45336</v>
      </c>
      <c r="H286">
        <v>60</v>
      </c>
      <c r="I286">
        <v>58</v>
      </c>
      <c r="J286">
        <v>7</v>
      </c>
      <c r="K286">
        <v>9</v>
      </c>
      <c r="L286">
        <v>67</v>
      </c>
      <c r="M286">
        <v>1375</v>
      </c>
      <c r="N286">
        <v>7</v>
      </c>
      <c r="O286">
        <v>4</v>
      </c>
      <c r="P286" t="s">
        <v>36</v>
      </c>
      <c r="Q286">
        <v>42</v>
      </c>
      <c r="R286" s="2">
        <v>12375</v>
      </c>
    </row>
    <row r="287" spans="1:18" x14ac:dyDescent="0.35">
      <c r="A287" t="s">
        <v>25</v>
      </c>
      <c r="B287" t="s">
        <v>26</v>
      </c>
      <c r="C287" t="s">
        <v>20</v>
      </c>
      <c r="D287" t="s">
        <v>39</v>
      </c>
      <c r="E287" t="s">
        <v>40</v>
      </c>
      <c r="F287" t="s">
        <v>33</v>
      </c>
      <c r="G287" s="1">
        <v>45337</v>
      </c>
      <c r="H287">
        <v>285</v>
      </c>
      <c r="I287">
        <v>41</v>
      </c>
      <c r="J287">
        <v>0</v>
      </c>
      <c r="K287">
        <v>244</v>
      </c>
      <c r="L287">
        <v>41</v>
      </c>
      <c r="M287">
        <v>1312</v>
      </c>
      <c r="N287">
        <v>9</v>
      </c>
      <c r="O287">
        <v>1</v>
      </c>
      <c r="P287" t="s">
        <v>24</v>
      </c>
      <c r="Q287">
        <v>46</v>
      </c>
      <c r="R287" s="2">
        <v>320128</v>
      </c>
    </row>
    <row r="288" spans="1:18" x14ac:dyDescent="0.35">
      <c r="A288" t="s">
        <v>25</v>
      </c>
      <c r="B288" t="s">
        <v>26</v>
      </c>
      <c r="C288" t="s">
        <v>20</v>
      </c>
      <c r="D288" t="s">
        <v>21</v>
      </c>
      <c r="E288" t="s">
        <v>27</v>
      </c>
      <c r="F288" t="s">
        <v>33</v>
      </c>
      <c r="G288" s="1">
        <v>45338</v>
      </c>
      <c r="H288">
        <v>231</v>
      </c>
      <c r="I288">
        <v>24</v>
      </c>
      <c r="J288">
        <v>52</v>
      </c>
      <c r="K288">
        <v>259</v>
      </c>
      <c r="L288">
        <v>85</v>
      </c>
      <c r="M288">
        <v>474</v>
      </c>
      <c r="N288">
        <v>6</v>
      </c>
      <c r="O288">
        <v>1</v>
      </c>
      <c r="P288" t="s">
        <v>24</v>
      </c>
      <c r="Q288">
        <v>18</v>
      </c>
      <c r="R288" s="2">
        <v>122766</v>
      </c>
    </row>
    <row r="289" spans="1:18" x14ac:dyDescent="0.35">
      <c r="A289" t="s">
        <v>41</v>
      </c>
      <c r="B289" t="s">
        <v>42</v>
      </c>
      <c r="C289" t="s">
        <v>20</v>
      </c>
      <c r="D289" t="s">
        <v>37</v>
      </c>
      <c r="E289" t="s">
        <v>46</v>
      </c>
      <c r="F289" t="s">
        <v>30</v>
      </c>
      <c r="G289" s="1">
        <v>45339</v>
      </c>
      <c r="H289">
        <v>164</v>
      </c>
      <c r="I289">
        <v>52</v>
      </c>
      <c r="J289">
        <v>19</v>
      </c>
      <c r="K289">
        <v>131</v>
      </c>
      <c r="L289">
        <v>88</v>
      </c>
      <c r="M289">
        <v>185</v>
      </c>
      <c r="N289">
        <v>15</v>
      </c>
      <c r="O289">
        <v>10</v>
      </c>
      <c r="P289" t="s">
        <v>24</v>
      </c>
      <c r="Q289">
        <v>45</v>
      </c>
      <c r="R289" s="2">
        <v>24235</v>
      </c>
    </row>
    <row r="290" spans="1:18" x14ac:dyDescent="0.35">
      <c r="A290" t="s">
        <v>18</v>
      </c>
      <c r="B290" t="s">
        <v>19</v>
      </c>
      <c r="C290" t="s">
        <v>20</v>
      </c>
      <c r="D290" t="s">
        <v>43</v>
      </c>
      <c r="E290" t="s">
        <v>44</v>
      </c>
      <c r="F290" t="s">
        <v>33</v>
      </c>
      <c r="G290" s="1">
        <v>45340</v>
      </c>
      <c r="H290">
        <v>226</v>
      </c>
      <c r="I290">
        <v>39</v>
      </c>
      <c r="J290">
        <v>50</v>
      </c>
      <c r="K290">
        <v>237</v>
      </c>
      <c r="L290">
        <v>65</v>
      </c>
      <c r="M290">
        <v>1119</v>
      </c>
      <c r="N290">
        <v>7</v>
      </c>
      <c r="O290">
        <v>6</v>
      </c>
      <c r="P290" t="s">
        <v>24</v>
      </c>
      <c r="Q290">
        <v>10</v>
      </c>
      <c r="R290" s="2">
        <v>265203</v>
      </c>
    </row>
    <row r="291" spans="1:18" x14ac:dyDescent="0.35">
      <c r="A291" t="s">
        <v>28</v>
      </c>
      <c r="B291" t="s">
        <v>29</v>
      </c>
      <c r="C291" t="s">
        <v>20</v>
      </c>
      <c r="D291" t="s">
        <v>39</v>
      </c>
      <c r="E291" t="s">
        <v>45</v>
      </c>
      <c r="F291" t="s">
        <v>30</v>
      </c>
      <c r="G291" s="1">
        <v>45341</v>
      </c>
      <c r="H291">
        <v>253</v>
      </c>
      <c r="I291">
        <v>23</v>
      </c>
      <c r="J291">
        <v>73</v>
      </c>
      <c r="K291">
        <v>303</v>
      </c>
      <c r="L291">
        <v>53</v>
      </c>
      <c r="M291">
        <v>570</v>
      </c>
      <c r="N291">
        <v>7</v>
      </c>
      <c r="O291">
        <v>9</v>
      </c>
      <c r="P291" t="s">
        <v>24</v>
      </c>
      <c r="Q291">
        <v>42</v>
      </c>
      <c r="R291" s="2">
        <v>172710</v>
      </c>
    </row>
    <row r="292" spans="1:18" x14ac:dyDescent="0.35">
      <c r="A292" t="s">
        <v>34</v>
      </c>
      <c r="B292" t="s">
        <v>35</v>
      </c>
      <c r="C292" t="s">
        <v>20</v>
      </c>
      <c r="D292" t="s">
        <v>37</v>
      </c>
      <c r="E292" t="s">
        <v>46</v>
      </c>
      <c r="F292" t="s">
        <v>23</v>
      </c>
      <c r="G292" s="1">
        <v>45342</v>
      </c>
      <c r="H292">
        <v>55</v>
      </c>
      <c r="I292">
        <v>11</v>
      </c>
      <c r="J292">
        <v>78</v>
      </c>
      <c r="K292">
        <v>122</v>
      </c>
      <c r="L292">
        <v>53</v>
      </c>
      <c r="M292">
        <v>570</v>
      </c>
      <c r="N292">
        <v>11</v>
      </c>
      <c r="O292">
        <v>10</v>
      </c>
      <c r="P292" t="s">
        <v>24</v>
      </c>
      <c r="Q292">
        <v>57</v>
      </c>
      <c r="R292" s="2">
        <v>69540</v>
      </c>
    </row>
    <row r="293" spans="1:18" x14ac:dyDescent="0.35">
      <c r="A293" t="s">
        <v>25</v>
      </c>
      <c r="B293" t="s">
        <v>26</v>
      </c>
      <c r="C293" t="s">
        <v>20</v>
      </c>
      <c r="D293" t="s">
        <v>39</v>
      </c>
      <c r="E293" t="s">
        <v>45</v>
      </c>
      <c r="F293" t="s">
        <v>23</v>
      </c>
      <c r="G293" s="1">
        <v>45343</v>
      </c>
      <c r="H293">
        <v>72</v>
      </c>
      <c r="I293">
        <v>10</v>
      </c>
      <c r="J293">
        <v>22</v>
      </c>
      <c r="K293">
        <v>84</v>
      </c>
      <c r="L293">
        <v>91</v>
      </c>
      <c r="M293">
        <v>1375</v>
      </c>
      <c r="N293">
        <v>12</v>
      </c>
      <c r="O293">
        <v>6</v>
      </c>
      <c r="P293" t="s">
        <v>36</v>
      </c>
      <c r="Q293">
        <v>66</v>
      </c>
      <c r="R293" s="2">
        <v>115500</v>
      </c>
    </row>
    <row r="294" spans="1:18" x14ac:dyDescent="0.35">
      <c r="A294" t="s">
        <v>25</v>
      </c>
      <c r="B294" t="s">
        <v>26</v>
      </c>
      <c r="C294" t="s">
        <v>20</v>
      </c>
      <c r="D294" t="s">
        <v>21</v>
      </c>
      <c r="E294" t="s">
        <v>22</v>
      </c>
      <c r="F294" t="s">
        <v>23</v>
      </c>
      <c r="G294" s="1">
        <v>45344</v>
      </c>
      <c r="H294">
        <v>139</v>
      </c>
      <c r="I294">
        <v>55</v>
      </c>
      <c r="J294">
        <v>7</v>
      </c>
      <c r="K294">
        <v>91</v>
      </c>
      <c r="L294">
        <v>97</v>
      </c>
      <c r="M294">
        <v>675</v>
      </c>
      <c r="N294">
        <v>4</v>
      </c>
      <c r="O294">
        <v>9</v>
      </c>
      <c r="P294" t="s">
        <v>36</v>
      </c>
      <c r="Q294">
        <v>63</v>
      </c>
      <c r="R294" s="2">
        <v>61425</v>
      </c>
    </row>
    <row r="295" spans="1:18" x14ac:dyDescent="0.35">
      <c r="A295" t="s">
        <v>25</v>
      </c>
      <c r="B295" t="s">
        <v>26</v>
      </c>
      <c r="C295" t="s">
        <v>20</v>
      </c>
      <c r="D295" t="s">
        <v>21</v>
      </c>
      <c r="E295" t="s">
        <v>27</v>
      </c>
      <c r="F295" t="s">
        <v>30</v>
      </c>
      <c r="G295" s="1">
        <v>45345</v>
      </c>
      <c r="H295">
        <v>156</v>
      </c>
      <c r="I295">
        <v>23</v>
      </c>
      <c r="J295">
        <v>19</v>
      </c>
      <c r="K295">
        <v>152</v>
      </c>
      <c r="L295">
        <v>81</v>
      </c>
      <c r="M295">
        <v>1156</v>
      </c>
      <c r="N295">
        <v>2</v>
      </c>
      <c r="O295">
        <v>1</v>
      </c>
      <c r="P295" t="s">
        <v>24</v>
      </c>
      <c r="Q295">
        <v>11</v>
      </c>
      <c r="R295" s="2">
        <v>175712</v>
      </c>
    </row>
    <row r="296" spans="1:18" x14ac:dyDescent="0.35">
      <c r="A296" t="s">
        <v>25</v>
      </c>
      <c r="B296" t="s">
        <v>26</v>
      </c>
      <c r="C296" t="s">
        <v>20</v>
      </c>
      <c r="D296" t="s">
        <v>39</v>
      </c>
      <c r="E296" t="s">
        <v>45</v>
      </c>
      <c r="F296" t="s">
        <v>23</v>
      </c>
      <c r="G296" s="1">
        <v>45346</v>
      </c>
      <c r="H296">
        <v>235</v>
      </c>
      <c r="I296">
        <v>15</v>
      </c>
      <c r="J296">
        <v>72</v>
      </c>
      <c r="K296">
        <v>292</v>
      </c>
      <c r="L296">
        <v>50</v>
      </c>
      <c r="M296">
        <v>107</v>
      </c>
      <c r="N296">
        <v>5</v>
      </c>
      <c r="O296">
        <v>3</v>
      </c>
      <c r="P296" t="s">
        <v>24</v>
      </c>
      <c r="Q296">
        <v>50</v>
      </c>
      <c r="R296" s="2">
        <v>31244</v>
      </c>
    </row>
    <row r="297" spans="1:18" x14ac:dyDescent="0.35">
      <c r="A297" t="s">
        <v>34</v>
      </c>
      <c r="B297" t="s">
        <v>35</v>
      </c>
      <c r="C297" t="s">
        <v>20</v>
      </c>
      <c r="D297" t="s">
        <v>39</v>
      </c>
      <c r="E297" t="s">
        <v>40</v>
      </c>
      <c r="F297" t="s">
        <v>33</v>
      </c>
      <c r="G297" s="1">
        <v>45347</v>
      </c>
      <c r="H297">
        <v>67</v>
      </c>
      <c r="I297">
        <v>25</v>
      </c>
      <c r="J297">
        <v>26</v>
      </c>
      <c r="K297">
        <v>68</v>
      </c>
      <c r="L297">
        <v>84</v>
      </c>
      <c r="M297">
        <v>488</v>
      </c>
      <c r="N297">
        <v>7</v>
      </c>
      <c r="O297">
        <v>0</v>
      </c>
      <c r="P297" t="s">
        <v>36</v>
      </c>
      <c r="Q297">
        <v>51</v>
      </c>
      <c r="R297" s="2">
        <v>33184</v>
      </c>
    </row>
    <row r="298" spans="1:18" x14ac:dyDescent="0.35">
      <c r="A298" t="s">
        <v>18</v>
      </c>
      <c r="B298" t="s">
        <v>19</v>
      </c>
      <c r="C298" t="s">
        <v>20</v>
      </c>
      <c r="D298" t="s">
        <v>21</v>
      </c>
      <c r="E298" t="s">
        <v>27</v>
      </c>
      <c r="F298" t="s">
        <v>30</v>
      </c>
      <c r="G298" s="1">
        <v>45348</v>
      </c>
      <c r="H298">
        <v>93</v>
      </c>
      <c r="I298">
        <v>33</v>
      </c>
      <c r="J298">
        <v>6</v>
      </c>
      <c r="K298">
        <v>66</v>
      </c>
      <c r="L298">
        <v>60</v>
      </c>
      <c r="M298">
        <v>1006</v>
      </c>
      <c r="N298">
        <v>6</v>
      </c>
      <c r="O298">
        <v>0</v>
      </c>
      <c r="P298" t="s">
        <v>24</v>
      </c>
      <c r="Q298">
        <v>19</v>
      </c>
      <c r="R298" s="2">
        <v>66396</v>
      </c>
    </row>
    <row r="299" spans="1:18" x14ac:dyDescent="0.35">
      <c r="A299" t="s">
        <v>28</v>
      </c>
      <c r="B299" t="s">
        <v>29</v>
      </c>
      <c r="C299" t="s">
        <v>20</v>
      </c>
      <c r="D299" t="s">
        <v>31</v>
      </c>
      <c r="E299" t="s">
        <v>47</v>
      </c>
      <c r="F299" t="s">
        <v>30</v>
      </c>
      <c r="G299" s="1">
        <v>45349</v>
      </c>
      <c r="H299">
        <v>135</v>
      </c>
      <c r="I299">
        <v>36</v>
      </c>
      <c r="J299">
        <v>0</v>
      </c>
      <c r="K299">
        <v>99</v>
      </c>
      <c r="L299">
        <v>72</v>
      </c>
      <c r="M299">
        <v>653</v>
      </c>
      <c r="N299">
        <v>3</v>
      </c>
      <c r="O299">
        <v>1</v>
      </c>
      <c r="P299" t="s">
        <v>24</v>
      </c>
      <c r="Q299">
        <v>41</v>
      </c>
      <c r="R299" s="2">
        <v>64647</v>
      </c>
    </row>
    <row r="300" spans="1:18" x14ac:dyDescent="0.35">
      <c r="A300" t="s">
        <v>41</v>
      </c>
      <c r="B300" t="s">
        <v>42</v>
      </c>
      <c r="C300" t="s">
        <v>20</v>
      </c>
      <c r="D300" t="s">
        <v>43</v>
      </c>
      <c r="E300" t="s">
        <v>44</v>
      </c>
      <c r="F300" t="s">
        <v>33</v>
      </c>
      <c r="G300" s="1">
        <v>45350</v>
      </c>
      <c r="H300">
        <v>292</v>
      </c>
      <c r="I300">
        <v>7</v>
      </c>
      <c r="J300">
        <v>36</v>
      </c>
      <c r="K300">
        <v>321</v>
      </c>
      <c r="L300">
        <v>60</v>
      </c>
      <c r="M300">
        <v>600</v>
      </c>
      <c r="N300">
        <v>12</v>
      </c>
      <c r="O300">
        <v>10</v>
      </c>
      <c r="P300" t="s">
        <v>24</v>
      </c>
      <c r="Q300">
        <v>31</v>
      </c>
      <c r="R300" s="2">
        <v>192600</v>
      </c>
    </row>
    <row r="301" spans="1:18" x14ac:dyDescent="0.35">
      <c r="A301" t="s">
        <v>34</v>
      </c>
      <c r="B301" t="s">
        <v>35</v>
      </c>
      <c r="C301" t="s">
        <v>20</v>
      </c>
      <c r="D301" t="s">
        <v>21</v>
      </c>
      <c r="E301" t="s">
        <v>27</v>
      </c>
      <c r="F301" t="s">
        <v>23</v>
      </c>
      <c r="G301" s="1">
        <v>45351</v>
      </c>
      <c r="H301">
        <v>164</v>
      </c>
      <c r="I301">
        <v>57</v>
      </c>
      <c r="J301">
        <v>28</v>
      </c>
      <c r="K301">
        <v>135</v>
      </c>
      <c r="L301">
        <v>79</v>
      </c>
      <c r="M301">
        <v>606</v>
      </c>
      <c r="N301">
        <v>6</v>
      </c>
      <c r="O301">
        <v>5</v>
      </c>
      <c r="P301" t="s">
        <v>24</v>
      </c>
      <c r="Q301">
        <v>26</v>
      </c>
      <c r="R301" s="2">
        <v>81810</v>
      </c>
    </row>
    <row r="302" spans="1:18" x14ac:dyDescent="0.35">
      <c r="A302" t="s">
        <v>25</v>
      </c>
      <c r="B302" t="s">
        <v>26</v>
      </c>
      <c r="C302" t="s">
        <v>20</v>
      </c>
      <c r="D302" t="s">
        <v>21</v>
      </c>
      <c r="E302" t="s">
        <v>22</v>
      </c>
      <c r="F302" t="s">
        <v>33</v>
      </c>
      <c r="G302" s="1">
        <v>45352</v>
      </c>
      <c r="H302">
        <v>292</v>
      </c>
      <c r="I302">
        <v>20</v>
      </c>
      <c r="J302">
        <v>56</v>
      </c>
      <c r="K302">
        <v>328</v>
      </c>
      <c r="L302">
        <v>89</v>
      </c>
      <c r="M302">
        <v>1484</v>
      </c>
      <c r="N302">
        <v>9</v>
      </c>
      <c r="O302">
        <v>10</v>
      </c>
      <c r="P302" t="s">
        <v>24</v>
      </c>
      <c r="Q302">
        <v>40</v>
      </c>
      <c r="R302" s="2">
        <v>486752</v>
      </c>
    </row>
    <row r="303" spans="1:18" x14ac:dyDescent="0.35">
      <c r="A303" t="s">
        <v>25</v>
      </c>
      <c r="B303" t="s">
        <v>26</v>
      </c>
      <c r="C303" t="s">
        <v>20</v>
      </c>
      <c r="D303" t="s">
        <v>31</v>
      </c>
      <c r="E303" t="s">
        <v>47</v>
      </c>
      <c r="F303" t="s">
        <v>30</v>
      </c>
      <c r="G303" s="1">
        <v>45353</v>
      </c>
      <c r="H303">
        <v>108</v>
      </c>
      <c r="I303">
        <v>23</v>
      </c>
      <c r="J303">
        <v>14</v>
      </c>
      <c r="K303">
        <v>99</v>
      </c>
      <c r="L303">
        <v>79</v>
      </c>
      <c r="M303">
        <v>168</v>
      </c>
      <c r="N303">
        <v>9</v>
      </c>
      <c r="O303">
        <v>10</v>
      </c>
      <c r="P303" t="s">
        <v>24</v>
      </c>
      <c r="Q303">
        <v>27</v>
      </c>
      <c r="R303" s="2">
        <v>16632</v>
      </c>
    </row>
    <row r="304" spans="1:18" x14ac:dyDescent="0.35">
      <c r="A304" t="s">
        <v>28</v>
      </c>
      <c r="B304" t="s">
        <v>29</v>
      </c>
      <c r="C304" t="s">
        <v>20</v>
      </c>
      <c r="D304" t="s">
        <v>21</v>
      </c>
      <c r="E304" t="s">
        <v>22</v>
      </c>
      <c r="F304" t="s">
        <v>33</v>
      </c>
      <c r="G304" s="1">
        <v>45354</v>
      </c>
      <c r="H304">
        <v>188</v>
      </c>
      <c r="I304">
        <v>41</v>
      </c>
      <c r="J304">
        <v>36</v>
      </c>
      <c r="K304">
        <v>183</v>
      </c>
      <c r="L304">
        <v>90</v>
      </c>
      <c r="M304">
        <v>110</v>
      </c>
      <c r="N304">
        <v>6</v>
      </c>
      <c r="O304">
        <v>0</v>
      </c>
      <c r="P304" t="s">
        <v>24</v>
      </c>
      <c r="Q304">
        <v>54</v>
      </c>
      <c r="R304" s="2">
        <v>20130</v>
      </c>
    </row>
    <row r="305" spans="1:18" x14ac:dyDescent="0.35">
      <c r="A305" t="s">
        <v>34</v>
      </c>
      <c r="B305" t="s">
        <v>35</v>
      </c>
      <c r="C305" t="s">
        <v>20</v>
      </c>
      <c r="D305" t="s">
        <v>21</v>
      </c>
      <c r="E305" t="s">
        <v>22</v>
      </c>
      <c r="F305" t="s">
        <v>30</v>
      </c>
      <c r="G305" s="1">
        <v>45355</v>
      </c>
      <c r="H305">
        <v>56</v>
      </c>
      <c r="I305">
        <v>9</v>
      </c>
      <c r="J305">
        <v>33</v>
      </c>
      <c r="K305">
        <v>80</v>
      </c>
      <c r="L305">
        <v>93</v>
      </c>
      <c r="M305">
        <v>207</v>
      </c>
      <c r="N305">
        <v>15</v>
      </c>
      <c r="O305">
        <v>5</v>
      </c>
      <c r="P305" t="s">
        <v>36</v>
      </c>
      <c r="Q305">
        <v>35</v>
      </c>
      <c r="R305" s="2">
        <v>16560</v>
      </c>
    </row>
    <row r="306" spans="1:18" x14ac:dyDescent="0.35">
      <c r="A306" t="s">
        <v>34</v>
      </c>
      <c r="B306" t="s">
        <v>35</v>
      </c>
      <c r="C306" t="s">
        <v>20</v>
      </c>
      <c r="D306" t="s">
        <v>43</v>
      </c>
      <c r="E306" t="s">
        <v>44</v>
      </c>
      <c r="F306" t="s">
        <v>30</v>
      </c>
      <c r="G306" s="1">
        <v>45356</v>
      </c>
      <c r="H306">
        <v>218</v>
      </c>
      <c r="I306">
        <v>40</v>
      </c>
      <c r="J306">
        <v>62</v>
      </c>
      <c r="K306">
        <v>240</v>
      </c>
      <c r="L306">
        <v>66</v>
      </c>
      <c r="M306">
        <v>885</v>
      </c>
      <c r="N306">
        <v>10</v>
      </c>
      <c r="O306">
        <v>9</v>
      </c>
      <c r="P306" t="s">
        <v>24</v>
      </c>
      <c r="Q306">
        <v>50</v>
      </c>
      <c r="R306" s="2">
        <v>212400</v>
      </c>
    </row>
    <row r="307" spans="1:18" x14ac:dyDescent="0.35">
      <c r="A307" t="s">
        <v>18</v>
      </c>
      <c r="B307" t="s">
        <v>19</v>
      </c>
      <c r="C307" t="s">
        <v>20</v>
      </c>
      <c r="D307" t="s">
        <v>43</v>
      </c>
      <c r="E307" t="s">
        <v>44</v>
      </c>
      <c r="F307" t="s">
        <v>33</v>
      </c>
      <c r="G307" s="1">
        <v>45357</v>
      </c>
      <c r="H307">
        <v>291</v>
      </c>
      <c r="I307">
        <v>42</v>
      </c>
      <c r="J307">
        <v>15</v>
      </c>
      <c r="K307">
        <v>264</v>
      </c>
      <c r="L307">
        <v>63</v>
      </c>
      <c r="M307">
        <v>57</v>
      </c>
      <c r="N307">
        <v>7</v>
      </c>
      <c r="O307">
        <v>3</v>
      </c>
      <c r="P307" t="s">
        <v>24</v>
      </c>
      <c r="Q307">
        <v>44</v>
      </c>
      <c r="R307" s="2">
        <v>15048</v>
      </c>
    </row>
    <row r="308" spans="1:18" x14ac:dyDescent="0.35">
      <c r="A308" t="s">
        <v>34</v>
      </c>
      <c r="B308" t="s">
        <v>35</v>
      </c>
      <c r="C308" t="s">
        <v>20</v>
      </c>
      <c r="D308" t="s">
        <v>43</v>
      </c>
      <c r="E308" t="s">
        <v>48</v>
      </c>
      <c r="F308" t="s">
        <v>30</v>
      </c>
      <c r="G308" s="1">
        <v>45358</v>
      </c>
      <c r="H308">
        <v>288</v>
      </c>
      <c r="I308">
        <v>48</v>
      </c>
      <c r="J308">
        <v>36</v>
      </c>
      <c r="K308">
        <v>276</v>
      </c>
      <c r="L308">
        <v>88</v>
      </c>
      <c r="M308">
        <v>838</v>
      </c>
      <c r="N308">
        <v>5</v>
      </c>
      <c r="O308">
        <v>5</v>
      </c>
      <c r="P308" t="s">
        <v>24</v>
      </c>
      <c r="Q308">
        <v>36</v>
      </c>
      <c r="R308" s="2">
        <v>231288</v>
      </c>
    </row>
    <row r="309" spans="1:18" x14ac:dyDescent="0.35">
      <c r="A309" t="s">
        <v>34</v>
      </c>
      <c r="B309" t="s">
        <v>35</v>
      </c>
      <c r="C309" t="s">
        <v>20</v>
      </c>
      <c r="D309" t="s">
        <v>43</v>
      </c>
      <c r="E309" t="s">
        <v>44</v>
      </c>
      <c r="F309" t="s">
        <v>23</v>
      </c>
      <c r="G309" s="1">
        <v>45359</v>
      </c>
      <c r="H309">
        <v>110</v>
      </c>
      <c r="I309">
        <v>8</v>
      </c>
      <c r="J309">
        <v>32</v>
      </c>
      <c r="K309">
        <v>134</v>
      </c>
      <c r="L309">
        <v>81</v>
      </c>
      <c r="M309">
        <v>921</v>
      </c>
      <c r="N309">
        <v>12</v>
      </c>
      <c r="O309">
        <v>8</v>
      </c>
      <c r="P309" t="s">
        <v>24</v>
      </c>
      <c r="Q309">
        <v>26</v>
      </c>
      <c r="R309" s="2">
        <v>123414</v>
      </c>
    </row>
    <row r="310" spans="1:18" x14ac:dyDescent="0.35">
      <c r="A310" t="s">
        <v>34</v>
      </c>
      <c r="B310" t="s">
        <v>35</v>
      </c>
      <c r="C310" t="s">
        <v>20</v>
      </c>
      <c r="D310" t="s">
        <v>37</v>
      </c>
      <c r="E310" t="s">
        <v>38</v>
      </c>
      <c r="F310" t="s">
        <v>30</v>
      </c>
      <c r="G310" s="1">
        <v>45360</v>
      </c>
      <c r="H310">
        <v>227</v>
      </c>
      <c r="I310">
        <v>16</v>
      </c>
      <c r="J310">
        <v>29</v>
      </c>
      <c r="K310">
        <v>240</v>
      </c>
      <c r="L310">
        <v>70</v>
      </c>
      <c r="M310">
        <v>759</v>
      </c>
      <c r="N310">
        <v>13</v>
      </c>
      <c r="O310">
        <v>2</v>
      </c>
      <c r="P310" t="s">
        <v>24</v>
      </c>
      <c r="Q310">
        <v>16</v>
      </c>
      <c r="R310" s="2">
        <v>182160</v>
      </c>
    </row>
    <row r="311" spans="1:18" x14ac:dyDescent="0.35">
      <c r="A311" t="s">
        <v>34</v>
      </c>
      <c r="B311" t="s">
        <v>35</v>
      </c>
      <c r="C311" t="s">
        <v>20</v>
      </c>
      <c r="D311" t="s">
        <v>21</v>
      </c>
      <c r="E311" t="s">
        <v>27</v>
      </c>
      <c r="F311" t="s">
        <v>23</v>
      </c>
      <c r="G311" s="1">
        <v>45361</v>
      </c>
      <c r="H311">
        <v>210</v>
      </c>
      <c r="I311">
        <v>45</v>
      </c>
      <c r="J311">
        <v>61</v>
      </c>
      <c r="K311">
        <v>226</v>
      </c>
      <c r="L311">
        <v>92</v>
      </c>
      <c r="M311">
        <v>1122</v>
      </c>
      <c r="N311">
        <v>7</v>
      </c>
      <c r="O311">
        <v>8</v>
      </c>
      <c r="P311" t="s">
        <v>24</v>
      </c>
      <c r="Q311">
        <v>19</v>
      </c>
      <c r="R311" s="2">
        <v>253572</v>
      </c>
    </row>
    <row r="312" spans="1:18" x14ac:dyDescent="0.35">
      <c r="A312" t="s">
        <v>41</v>
      </c>
      <c r="B312" t="s">
        <v>42</v>
      </c>
      <c r="C312" t="s">
        <v>20</v>
      </c>
      <c r="D312" t="s">
        <v>21</v>
      </c>
      <c r="E312" t="s">
        <v>27</v>
      </c>
      <c r="F312" t="s">
        <v>23</v>
      </c>
      <c r="G312" s="1">
        <v>45362</v>
      </c>
      <c r="H312">
        <v>74</v>
      </c>
      <c r="I312">
        <v>26</v>
      </c>
      <c r="J312">
        <v>7</v>
      </c>
      <c r="K312">
        <v>55</v>
      </c>
      <c r="L312">
        <v>90</v>
      </c>
      <c r="M312">
        <v>193</v>
      </c>
      <c r="N312">
        <v>4</v>
      </c>
      <c r="O312">
        <v>6</v>
      </c>
      <c r="P312" t="s">
        <v>36</v>
      </c>
      <c r="Q312">
        <v>40</v>
      </c>
      <c r="R312" s="2">
        <v>10615</v>
      </c>
    </row>
    <row r="313" spans="1:18" x14ac:dyDescent="0.35">
      <c r="A313" t="s">
        <v>34</v>
      </c>
      <c r="B313" t="s">
        <v>35</v>
      </c>
      <c r="C313" t="s">
        <v>20</v>
      </c>
      <c r="D313" t="s">
        <v>31</v>
      </c>
      <c r="E313" t="s">
        <v>47</v>
      </c>
      <c r="F313" t="s">
        <v>33</v>
      </c>
      <c r="G313" s="1">
        <v>45363</v>
      </c>
      <c r="H313">
        <v>89</v>
      </c>
      <c r="I313">
        <v>42</v>
      </c>
      <c r="J313">
        <v>64</v>
      </c>
      <c r="K313">
        <v>111</v>
      </c>
      <c r="L313">
        <v>94</v>
      </c>
      <c r="M313">
        <v>1000</v>
      </c>
      <c r="N313">
        <v>12</v>
      </c>
      <c r="O313">
        <v>10</v>
      </c>
      <c r="P313" t="s">
        <v>24</v>
      </c>
      <c r="Q313">
        <v>18</v>
      </c>
      <c r="R313" s="2">
        <v>111000</v>
      </c>
    </row>
    <row r="314" spans="1:18" x14ac:dyDescent="0.35">
      <c r="A314" t="s">
        <v>34</v>
      </c>
      <c r="B314" t="s">
        <v>35</v>
      </c>
      <c r="C314" t="s">
        <v>20</v>
      </c>
      <c r="D314" t="s">
        <v>39</v>
      </c>
      <c r="E314" t="s">
        <v>40</v>
      </c>
      <c r="F314" t="s">
        <v>23</v>
      </c>
      <c r="G314" s="1">
        <v>45364</v>
      </c>
      <c r="H314">
        <v>164</v>
      </c>
      <c r="I314">
        <v>30</v>
      </c>
      <c r="J314">
        <v>12</v>
      </c>
      <c r="K314">
        <v>146</v>
      </c>
      <c r="L314">
        <v>46</v>
      </c>
      <c r="M314">
        <v>754</v>
      </c>
      <c r="N314">
        <v>12</v>
      </c>
      <c r="O314">
        <v>6</v>
      </c>
      <c r="P314" t="s">
        <v>24</v>
      </c>
      <c r="Q314">
        <v>20</v>
      </c>
      <c r="R314" s="2">
        <v>110084</v>
      </c>
    </row>
    <row r="315" spans="1:18" x14ac:dyDescent="0.35">
      <c r="A315" t="s">
        <v>34</v>
      </c>
      <c r="B315" t="s">
        <v>35</v>
      </c>
      <c r="C315" t="s">
        <v>20</v>
      </c>
      <c r="D315" t="s">
        <v>39</v>
      </c>
      <c r="E315" t="s">
        <v>40</v>
      </c>
      <c r="F315" t="s">
        <v>23</v>
      </c>
      <c r="G315" s="1">
        <v>45365</v>
      </c>
      <c r="H315">
        <v>62</v>
      </c>
      <c r="I315">
        <v>8</v>
      </c>
      <c r="J315">
        <v>74</v>
      </c>
      <c r="K315">
        <v>128</v>
      </c>
      <c r="L315">
        <v>81</v>
      </c>
      <c r="M315">
        <v>346</v>
      </c>
      <c r="N315">
        <v>5</v>
      </c>
      <c r="O315">
        <v>8</v>
      </c>
      <c r="P315" t="s">
        <v>24</v>
      </c>
      <c r="Q315">
        <v>41</v>
      </c>
      <c r="R315" s="2">
        <v>44288</v>
      </c>
    </row>
    <row r="316" spans="1:18" x14ac:dyDescent="0.35">
      <c r="A316" t="s">
        <v>34</v>
      </c>
      <c r="B316" t="s">
        <v>35</v>
      </c>
      <c r="C316" t="s">
        <v>20</v>
      </c>
      <c r="D316" t="s">
        <v>31</v>
      </c>
      <c r="E316" t="s">
        <v>47</v>
      </c>
      <c r="F316" t="s">
        <v>30</v>
      </c>
      <c r="G316" s="1">
        <v>45366</v>
      </c>
      <c r="H316">
        <v>158</v>
      </c>
      <c r="I316">
        <v>39</v>
      </c>
      <c r="J316">
        <v>66</v>
      </c>
      <c r="K316">
        <v>185</v>
      </c>
      <c r="L316">
        <v>51</v>
      </c>
      <c r="M316">
        <v>1041</v>
      </c>
      <c r="N316">
        <v>13</v>
      </c>
      <c r="O316">
        <v>3</v>
      </c>
      <c r="P316" t="s">
        <v>24</v>
      </c>
      <c r="Q316">
        <v>51</v>
      </c>
      <c r="R316" s="2">
        <v>192585</v>
      </c>
    </row>
    <row r="317" spans="1:18" x14ac:dyDescent="0.35">
      <c r="A317" t="s">
        <v>25</v>
      </c>
      <c r="B317" t="s">
        <v>26</v>
      </c>
      <c r="C317" t="s">
        <v>20</v>
      </c>
      <c r="D317" t="s">
        <v>31</v>
      </c>
      <c r="E317" t="s">
        <v>47</v>
      </c>
      <c r="F317" t="s">
        <v>33</v>
      </c>
      <c r="G317" s="1">
        <v>45367</v>
      </c>
      <c r="H317">
        <v>239</v>
      </c>
      <c r="I317">
        <v>49</v>
      </c>
      <c r="J317">
        <v>22</v>
      </c>
      <c r="K317">
        <v>212</v>
      </c>
      <c r="L317">
        <v>61</v>
      </c>
      <c r="M317">
        <v>451</v>
      </c>
      <c r="N317">
        <v>15</v>
      </c>
      <c r="O317">
        <v>6</v>
      </c>
      <c r="P317" t="s">
        <v>24</v>
      </c>
      <c r="Q317">
        <v>38</v>
      </c>
      <c r="R317" s="2">
        <v>95612</v>
      </c>
    </row>
    <row r="318" spans="1:18" x14ac:dyDescent="0.35">
      <c r="A318" t="s">
        <v>18</v>
      </c>
      <c r="B318" t="s">
        <v>19</v>
      </c>
      <c r="C318" t="s">
        <v>20</v>
      </c>
      <c r="D318" t="s">
        <v>21</v>
      </c>
      <c r="E318" t="s">
        <v>22</v>
      </c>
      <c r="F318" t="s">
        <v>33</v>
      </c>
      <c r="G318" s="1">
        <v>45368</v>
      </c>
      <c r="H318">
        <v>61</v>
      </c>
      <c r="I318">
        <v>50</v>
      </c>
      <c r="J318">
        <v>58</v>
      </c>
      <c r="K318">
        <v>69</v>
      </c>
      <c r="L318">
        <v>98</v>
      </c>
      <c r="M318">
        <v>1313</v>
      </c>
      <c r="N318">
        <v>6</v>
      </c>
      <c r="O318">
        <v>0</v>
      </c>
      <c r="P318" t="s">
        <v>36</v>
      </c>
      <c r="Q318">
        <v>64</v>
      </c>
      <c r="R318" s="2">
        <v>90597</v>
      </c>
    </row>
    <row r="319" spans="1:18" x14ac:dyDescent="0.35">
      <c r="A319" t="s">
        <v>25</v>
      </c>
      <c r="B319" t="s">
        <v>26</v>
      </c>
      <c r="C319" t="s">
        <v>20</v>
      </c>
      <c r="D319" t="s">
        <v>21</v>
      </c>
      <c r="E319" t="s">
        <v>27</v>
      </c>
      <c r="F319" t="s">
        <v>23</v>
      </c>
      <c r="G319" s="1">
        <v>45369</v>
      </c>
      <c r="H319">
        <v>268</v>
      </c>
      <c r="I319">
        <v>40</v>
      </c>
      <c r="J319">
        <v>47</v>
      </c>
      <c r="K319">
        <v>275</v>
      </c>
      <c r="L319">
        <v>86</v>
      </c>
      <c r="M319">
        <v>1263</v>
      </c>
      <c r="N319">
        <v>8</v>
      </c>
      <c r="O319">
        <v>7</v>
      </c>
      <c r="P319" t="s">
        <v>24</v>
      </c>
      <c r="Q319">
        <v>22</v>
      </c>
      <c r="R319" s="2">
        <v>347325</v>
      </c>
    </row>
    <row r="320" spans="1:18" x14ac:dyDescent="0.35">
      <c r="A320" t="s">
        <v>34</v>
      </c>
      <c r="B320" t="s">
        <v>35</v>
      </c>
      <c r="C320" t="s">
        <v>20</v>
      </c>
      <c r="D320" t="s">
        <v>21</v>
      </c>
      <c r="E320" t="s">
        <v>22</v>
      </c>
      <c r="F320" t="s">
        <v>30</v>
      </c>
      <c r="G320" s="1">
        <v>45370</v>
      </c>
      <c r="H320">
        <v>109</v>
      </c>
      <c r="I320">
        <v>51</v>
      </c>
      <c r="J320">
        <v>74</v>
      </c>
      <c r="K320">
        <v>132</v>
      </c>
      <c r="L320">
        <v>87</v>
      </c>
      <c r="M320">
        <v>77</v>
      </c>
      <c r="N320">
        <v>13</v>
      </c>
      <c r="O320">
        <v>1</v>
      </c>
      <c r="P320" t="s">
        <v>24</v>
      </c>
      <c r="Q320">
        <v>45</v>
      </c>
      <c r="R320" s="2">
        <v>10164</v>
      </c>
    </row>
    <row r="321" spans="1:18" x14ac:dyDescent="0.35">
      <c r="A321" t="s">
        <v>34</v>
      </c>
      <c r="B321" t="s">
        <v>35</v>
      </c>
      <c r="C321" t="s">
        <v>20</v>
      </c>
      <c r="D321" t="s">
        <v>37</v>
      </c>
      <c r="E321" t="s">
        <v>38</v>
      </c>
      <c r="F321" t="s">
        <v>30</v>
      </c>
      <c r="G321" s="1">
        <v>45371</v>
      </c>
      <c r="H321">
        <v>296</v>
      </c>
      <c r="I321">
        <v>15</v>
      </c>
      <c r="J321">
        <v>60</v>
      </c>
      <c r="K321">
        <v>341</v>
      </c>
      <c r="L321">
        <v>56</v>
      </c>
      <c r="M321">
        <v>371</v>
      </c>
      <c r="N321">
        <v>14</v>
      </c>
      <c r="O321">
        <v>3</v>
      </c>
      <c r="P321" t="s">
        <v>24</v>
      </c>
      <c r="Q321">
        <v>64</v>
      </c>
      <c r="R321" s="2">
        <v>126511</v>
      </c>
    </row>
    <row r="322" spans="1:18" x14ac:dyDescent="0.35">
      <c r="A322" t="s">
        <v>18</v>
      </c>
      <c r="B322" t="s">
        <v>19</v>
      </c>
      <c r="C322" t="s">
        <v>20</v>
      </c>
      <c r="D322" t="s">
        <v>31</v>
      </c>
      <c r="E322" t="s">
        <v>32</v>
      </c>
      <c r="F322" t="s">
        <v>23</v>
      </c>
      <c r="G322" s="1">
        <v>45372</v>
      </c>
      <c r="H322">
        <v>197</v>
      </c>
      <c r="I322">
        <v>36</v>
      </c>
      <c r="J322">
        <v>72</v>
      </c>
      <c r="K322">
        <v>233</v>
      </c>
      <c r="L322">
        <v>55</v>
      </c>
      <c r="M322">
        <v>234</v>
      </c>
      <c r="N322">
        <v>6</v>
      </c>
      <c r="O322">
        <v>4</v>
      </c>
      <c r="P322" t="s">
        <v>24</v>
      </c>
      <c r="Q322">
        <v>10</v>
      </c>
      <c r="R322" s="2">
        <v>54522</v>
      </c>
    </row>
    <row r="323" spans="1:18" x14ac:dyDescent="0.35">
      <c r="A323" t="s">
        <v>25</v>
      </c>
      <c r="B323" t="s">
        <v>26</v>
      </c>
      <c r="C323" t="s">
        <v>20</v>
      </c>
      <c r="D323" t="s">
        <v>39</v>
      </c>
      <c r="E323" t="s">
        <v>45</v>
      </c>
      <c r="F323" t="s">
        <v>23</v>
      </c>
      <c r="G323" s="1">
        <v>45373</v>
      </c>
      <c r="H323">
        <v>130</v>
      </c>
      <c r="I323">
        <v>30</v>
      </c>
      <c r="J323">
        <v>21</v>
      </c>
      <c r="K323">
        <v>121</v>
      </c>
      <c r="L323">
        <v>62</v>
      </c>
      <c r="M323">
        <v>631</v>
      </c>
      <c r="N323">
        <v>12</v>
      </c>
      <c r="O323">
        <v>5</v>
      </c>
      <c r="P323" t="s">
        <v>24</v>
      </c>
      <c r="Q323">
        <v>54</v>
      </c>
      <c r="R323" s="2">
        <v>76351</v>
      </c>
    </row>
    <row r="324" spans="1:18" x14ac:dyDescent="0.35">
      <c r="A324" t="s">
        <v>41</v>
      </c>
      <c r="B324" t="s">
        <v>42</v>
      </c>
      <c r="C324" t="s">
        <v>20</v>
      </c>
      <c r="D324" t="s">
        <v>43</v>
      </c>
      <c r="E324" t="s">
        <v>44</v>
      </c>
      <c r="F324" t="s">
        <v>23</v>
      </c>
      <c r="G324" s="1">
        <v>45374</v>
      </c>
      <c r="H324">
        <v>105</v>
      </c>
      <c r="I324">
        <v>35</v>
      </c>
      <c r="J324">
        <v>39</v>
      </c>
      <c r="K324">
        <v>109</v>
      </c>
      <c r="L324">
        <v>55</v>
      </c>
      <c r="M324">
        <v>1398</v>
      </c>
      <c r="N324">
        <v>13</v>
      </c>
      <c r="O324">
        <v>10</v>
      </c>
      <c r="P324" t="s">
        <v>24</v>
      </c>
      <c r="Q324">
        <v>26</v>
      </c>
      <c r="R324" s="2">
        <v>152382</v>
      </c>
    </row>
    <row r="325" spans="1:18" x14ac:dyDescent="0.35">
      <c r="A325" t="s">
        <v>41</v>
      </c>
      <c r="B325" t="s">
        <v>42</v>
      </c>
      <c r="C325" t="s">
        <v>20</v>
      </c>
      <c r="D325" t="s">
        <v>31</v>
      </c>
      <c r="E325" t="s">
        <v>32</v>
      </c>
      <c r="F325" t="s">
        <v>30</v>
      </c>
      <c r="G325" s="1">
        <v>45375</v>
      </c>
      <c r="H325">
        <v>214</v>
      </c>
      <c r="I325">
        <v>56</v>
      </c>
      <c r="J325">
        <v>52</v>
      </c>
      <c r="K325">
        <v>210</v>
      </c>
      <c r="L325">
        <v>57</v>
      </c>
      <c r="M325">
        <v>311</v>
      </c>
      <c r="N325">
        <v>2</v>
      </c>
      <c r="O325">
        <v>5</v>
      </c>
      <c r="P325" t="s">
        <v>24</v>
      </c>
      <c r="Q325">
        <v>16</v>
      </c>
      <c r="R325" s="2">
        <v>65310</v>
      </c>
    </row>
    <row r="326" spans="1:18" x14ac:dyDescent="0.35">
      <c r="A326" t="s">
        <v>41</v>
      </c>
      <c r="B326" t="s">
        <v>42</v>
      </c>
      <c r="C326" t="s">
        <v>20</v>
      </c>
      <c r="D326" t="s">
        <v>37</v>
      </c>
      <c r="E326" t="s">
        <v>38</v>
      </c>
      <c r="F326" t="s">
        <v>30</v>
      </c>
      <c r="G326" s="1">
        <v>45376</v>
      </c>
      <c r="H326">
        <v>130</v>
      </c>
      <c r="I326">
        <v>14</v>
      </c>
      <c r="J326">
        <v>54</v>
      </c>
      <c r="K326">
        <v>170</v>
      </c>
      <c r="L326">
        <v>68</v>
      </c>
      <c r="M326">
        <v>177</v>
      </c>
      <c r="N326">
        <v>9</v>
      </c>
      <c r="O326">
        <v>2</v>
      </c>
      <c r="P326" t="s">
        <v>24</v>
      </c>
      <c r="Q326">
        <v>52</v>
      </c>
      <c r="R326" s="2">
        <v>30090</v>
      </c>
    </row>
    <row r="327" spans="1:18" x14ac:dyDescent="0.35">
      <c r="A327" t="s">
        <v>25</v>
      </c>
      <c r="B327" t="s">
        <v>26</v>
      </c>
      <c r="C327" t="s">
        <v>20</v>
      </c>
      <c r="D327" t="s">
        <v>21</v>
      </c>
      <c r="E327" t="s">
        <v>22</v>
      </c>
      <c r="F327" t="s">
        <v>30</v>
      </c>
      <c r="G327" s="1">
        <v>45377</v>
      </c>
      <c r="H327">
        <v>60</v>
      </c>
      <c r="I327">
        <v>29</v>
      </c>
      <c r="J327">
        <v>62</v>
      </c>
      <c r="K327">
        <v>93</v>
      </c>
      <c r="L327">
        <v>89</v>
      </c>
      <c r="M327">
        <v>998</v>
      </c>
      <c r="N327">
        <v>5</v>
      </c>
      <c r="O327">
        <v>7</v>
      </c>
      <c r="P327" t="s">
        <v>24</v>
      </c>
      <c r="Q327">
        <v>26</v>
      </c>
      <c r="R327" s="2">
        <v>92814</v>
      </c>
    </row>
    <row r="328" spans="1:18" x14ac:dyDescent="0.35">
      <c r="A328" t="s">
        <v>28</v>
      </c>
      <c r="B328" t="s">
        <v>29</v>
      </c>
      <c r="C328" t="s">
        <v>20</v>
      </c>
      <c r="D328" t="s">
        <v>39</v>
      </c>
      <c r="E328" t="s">
        <v>40</v>
      </c>
      <c r="F328" t="s">
        <v>23</v>
      </c>
      <c r="G328" s="1">
        <v>45378</v>
      </c>
      <c r="H328">
        <v>80</v>
      </c>
      <c r="I328">
        <v>36</v>
      </c>
      <c r="J328">
        <v>71</v>
      </c>
      <c r="K328">
        <v>115</v>
      </c>
      <c r="L328">
        <v>57</v>
      </c>
      <c r="M328">
        <v>195</v>
      </c>
      <c r="N328">
        <v>15</v>
      </c>
      <c r="O328">
        <v>9</v>
      </c>
      <c r="P328" t="s">
        <v>24</v>
      </c>
      <c r="Q328">
        <v>56</v>
      </c>
      <c r="R328" s="2">
        <v>22425</v>
      </c>
    </row>
    <row r="329" spans="1:18" x14ac:dyDescent="0.35">
      <c r="A329" t="s">
        <v>18</v>
      </c>
      <c r="B329" t="s">
        <v>19</v>
      </c>
      <c r="C329" t="s">
        <v>20</v>
      </c>
      <c r="D329" t="s">
        <v>21</v>
      </c>
      <c r="E329" t="s">
        <v>22</v>
      </c>
      <c r="F329" t="s">
        <v>23</v>
      </c>
      <c r="G329" s="1">
        <v>45379</v>
      </c>
      <c r="H329">
        <v>82</v>
      </c>
      <c r="I329">
        <v>18</v>
      </c>
      <c r="J329">
        <v>50</v>
      </c>
      <c r="K329">
        <v>114</v>
      </c>
      <c r="L329">
        <v>76</v>
      </c>
      <c r="M329">
        <v>569</v>
      </c>
      <c r="N329">
        <v>3</v>
      </c>
      <c r="O329">
        <v>0</v>
      </c>
      <c r="P329" t="s">
        <v>24</v>
      </c>
      <c r="Q329">
        <v>19</v>
      </c>
      <c r="R329" s="2">
        <v>64866</v>
      </c>
    </row>
    <row r="330" spans="1:18" x14ac:dyDescent="0.35">
      <c r="A330" t="s">
        <v>25</v>
      </c>
      <c r="B330" t="s">
        <v>26</v>
      </c>
      <c r="C330" t="s">
        <v>20</v>
      </c>
      <c r="D330" t="s">
        <v>31</v>
      </c>
      <c r="E330" t="s">
        <v>47</v>
      </c>
      <c r="F330" t="s">
        <v>33</v>
      </c>
      <c r="G330" s="1">
        <v>45380</v>
      </c>
      <c r="H330">
        <v>101</v>
      </c>
      <c r="I330">
        <v>48</v>
      </c>
      <c r="J330">
        <v>67</v>
      </c>
      <c r="K330">
        <v>120</v>
      </c>
      <c r="L330">
        <v>90</v>
      </c>
      <c r="M330">
        <v>478</v>
      </c>
      <c r="N330">
        <v>2</v>
      </c>
      <c r="O330">
        <v>3</v>
      </c>
      <c r="P330" t="s">
        <v>24</v>
      </c>
      <c r="Q330">
        <v>56</v>
      </c>
      <c r="R330" s="2">
        <v>57360</v>
      </c>
    </row>
    <row r="331" spans="1:18" x14ac:dyDescent="0.35">
      <c r="A331" t="s">
        <v>25</v>
      </c>
      <c r="B331" t="s">
        <v>26</v>
      </c>
      <c r="C331" t="s">
        <v>20</v>
      </c>
      <c r="D331" t="s">
        <v>43</v>
      </c>
      <c r="E331" t="s">
        <v>48</v>
      </c>
      <c r="F331" t="s">
        <v>33</v>
      </c>
      <c r="G331" s="1">
        <v>45381</v>
      </c>
      <c r="H331">
        <v>67</v>
      </c>
      <c r="I331">
        <v>23</v>
      </c>
      <c r="J331">
        <v>3</v>
      </c>
      <c r="K331">
        <v>47</v>
      </c>
      <c r="L331">
        <v>44</v>
      </c>
      <c r="M331">
        <v>858</v>
      </c>
      <c r="N331">
        <v>8</v>
      </c>
      <c r="O331">
        <v>4</v>
      </c>
      <c r="P331" t="s">
        <v>24</v>
      </c>
      <c r="Q331">
        <v>16</v>
      </c>
      <c r="R331" s="2">
        <v>40326</v>
      </c>
    </row>
    <row r="332" spans="1:18" x14ac:dyDescent="0.35">
      <c r="A332" t="s">
        <v>25</v>
      </c>
      <c r="B332" t="s">
        <v>26</v>
      </c>
      <c r="C332" t="s">
        <v>20</v>
      </c>
      <c r="D332" t="s">
        <v>37</v>
      </c>
      <c r="E332" t="s">
        <v>38</v>
      </c>
      <c r="F332" t="s">
        <v>33</v>
      </c>
      <c r="G332" s="1">
        <v>45382</v>
      </c>
      <c r="H332">
        <v>55</v>
      </c>
      <c r="I332">
        <v>20</v>
      </c>
      <c r="J332">
        <v>21</v>
      </c>
      <c r="K332">
        <v>56</v>
      </c>
      <c r="L332">
        <v>82</v>
      </c>
      <c r="M332">
        <v>227</v>
      </c>
      <c r="N332">
        <v>11</v>
      </c>
      <c r="O332">
        <v>3</v>
      </c>
      <c r="P332" t="s">
        <v>36</v>
      </c>
      <c r="Q332">
        <v>40</v>
      </c>
      <c r="R332" s="2">
        <v>12712</v>
      </c>
    </row>
    <row r="333" spans="1:18" x14ac:dyDescent="0.35">
      <c r="A333" t="s">
        <v>18</v>
      </c>
      <c r="B333" t="s">
        <v>19</v>
      </c>
      <c r="C333" t="s">
        <v>20</v>
      </c>
      <c r="D333" t="s">
        <v>21</v>
      </c>
      <c r="E333" t="s">
        <v>27</v>
      </c>
      <c r="F333" t="s">
        <v>30</v>
      </c>
      <c r="G333" s="1">
        <v>45383</v>
      </c>
      <c r="H333">
        <v>69</v>
      </c>
      <c r="I333">
        <v>55</v>
      </c>
      <c r="J333">
        <v>8</v>
      </c>
      <c r="K333">
        <v>22</v>
      </c>
      <c r="L333">
        <v>67</v>
      </c>
      <c r="M333">
        <v>747</v>
      </c>
      <c r="N333">
        <v>4</v>
      </c>
      <c r="O333">
        <v>6</v>
      </c>
      <c r="P333" t="s">
        <v>36</v>
      </c>
      <c r="Q333">
        <v>51</v>
      </c>
      <c r="R333" s="2">
        <v>16434</v>
      </c>
    </row>
    <row r="334" spans="1:18" x14ac:dyDescent="0.35">
      <c r="A334" t="s">
        <v>25</v>
      </c>
      <c r="B334" t="s">
        <v>26</v>
      </c>
      <c r="C334" t="s">
        <v>20</v>
      </c>
      <c r="D334" t="s">
        <v>37</v>
      </c>
      <c r="E334" t="s">
        <v>46</v>
      </c>
      <c r="F334" t="s">
        <v>33</v>
      </c>
      <c r="G334" s="1">
        <v>45384</v>
      </c>
      <c r="H334">
        <v>274</v>
      </c>
      <c r="I334">
        <v>41</v>
      </c>
      <c r="J334">
        <v>32</v>
      </c>
      <c r="K334">
        <v>265</v>
      </c>
      <c r="L334">
        <v>59</v>
      </c>
      <c r="M334">
        <v>170</v>
      </c>
      <c r="N334">
        <v>15</v>
      </c>
      <c r="O334">
        <v>9</v>
      </c>
      <c r="P334" t="s">
        <v>24</v>
      </c>
      <c r="Q334">
        <v>34</v>
      </c>
      <c r="R334" s="2">
        <v>45050</v>
      </c>
    </row>
    <row r="335" spans="1:18" x14ac:dyDescent="0.35">
      <c r="A335" t="s">
        <v>18</v>
      </c>
      <c r="B335" t="s">
        <v>19</v>
      </c>
      <c r="C335" t="s">
        <v>20</v>
      </c>
      <c r="D335" t="s">
        <v>39</v>
      </c>
      <c r="E335" t="s">
        <v>45</v>
      </c>
      <c r="F335" t="s">
        <v>33</v>
      </c>
      <c r="G335" s="1">
        <v>45385</v>
      </c>
      <c r="H335">
        <v>233</v>
      </c>
      <c r="I335">
        <v>31</v>
      </c>
      <c r="J335">
        <v>21</v>
      </c>
      <c r="K335">
        <v>223</v>
      </c>
      <c r="L335">
        <v>95</v>
      </c>
      <c r="M335">
        <v>238</v>
      </c>
      <c r="N335">
        <v>3</v>
      </c>
      <c r="O335">
        <v>0</v>
      </c>
      <c r="P335" t="s">
        <v>24</v>
      </c>
      <c r="Q335">
        <v>60</v>
      </c>
      <c r="R335" s="2">
        <v>53074</v>
      </c>
    </row>
    <row r="336" spans="1:18" x14ac:dyDescent="0.35">
      <c r="A336" t="s">
        <v>18</v>
      </c>
      <c r="B336" t="s">
        <v>19</v>
      </c>
      <c r="C336" t="s">
        <v>20</v>
      </c>
      <c r="D336" t="s">
        <v>31</v>
      </c>
      <c r="E336" t="s">
        <v>32</v>
      </c>
      <c r="F336" t="s">
        <v>33</v>
      </c>
      <c r="G336" s="1">
        <v>45386</v>
      </c>
      <c r="H336">
        <v>88</v>
      </c>
      <c r="I336">
        <v>14</v>
      </c>
      <c r="J336">
        <v>19</v>
      </c>
      <c r="K336">
        <v>93</v>
      </c>
      <c r="L336">
        <v>65</v>
      </c>
      <c r="M336">
        <v>1179</v>
      </c>
      <c r="N336">
        <v>10</v>
      </c>
      <c r="O336">
        <v>4</v>
      </c>
      <c r="P336" t="s">
        <v>24</v>
      </c>
      <c r="Q336">
        <v>59</v>
      </c>
      <c r="R336" s="2">
        <v>109647</v>
      </c>
    </row>
    <row r="337" spans="1:18" x14ac:dyDescent="0.35">
      <c r="A337" t="s">
        <v>34</v>
      </c>
      <c r="B337" t="s">
        <v>35</v>
      </c>
      <c r="C337" t="s">
        <v>20</v>
      </c>
      <c r="D337" t="s">
        <v>43</v>
      </c>
      <c r="E337" t="s">
        <v>44</v>
      </c>
      <c r="F337" t="s">
        <v>23</v>
      </c>
      <c r="G337" s="1">
        <v>45387</v>
      </c>
      <c r="H337">
        <v>287</v>
      </c>
      <c r="I337">
        <v>38</v>
      </c>
      <c r="J337">
        <v>64</v>
      </c>
      <c r="K337">
        <v>313</v>
      </c>
      <c r="L337">
        <v>85</v>
      </c>
      <c r="M337">
        <v>110</v>
      </c>
      <c r="N337">
        <v>5</v>
      </c>
      <c r="O337">
        <v>4</v>
      </c>
      <c r="P337" t="s">
        <v>24</v>
      </c>
      <c r="Q337">
        <v>31</v>
      </c>
      <c r="R337" s="2">
        <v>34430</v>
      </c>
    </row>
    <row r="338" spans="1:18" x14ac:dyDescent="0.35">
      <c r="A338" t="s">
        <v>28</v>
      </c>
      <c r="B338" t="s">
        <v>29</v>
      </c>
      <c r="C338" t="s">
        <v>20</v>
      </c>
      <c r="D338" t="s">
        <v>43</v>
      </c>
      <c r="E338" t="s">
        <v>48</v>
      </c>
      <c r="F338" t="s">
        <v>23</v>
      </c>
      <c r="G338" s="1">
        <v>45388</v>
      </c>
      <c r="H338">
        <v>164</v>
      </c>
      <c r="I338">
        <v>21</v>
      </c>
      <c r="J338">
        <v>19</v>
      </c>
      <c r="K338">
        <v>162</v>
      </c>
      <c r="L338">
        <v>80</v>
      </c>
      <c r="M338">
        <v>128</v>
      </c>
      <c r="N338">
        <v>4</v>
      </c>
      <c r="O338">
        <v>0</v>
      </c>
      <c r="P338" t="s">
        <v>24</v>
      </c>
      <c r="Q338">
        <v>54</v>
      </c>
      <c r="R338" s="2">
        <v>20736</v>
      </c>
    </row>
    <row r="339" spans="1:18" x14ac:dyDescent="0.35">
      <c r="A339" t="s">
        <v>25</v>
      </c>
      <c r="B339" t="s">
        <v>26</v>
      </c>
      <c r="C339" t="s">
        <v>20</v>
      </c>
      <c r="D339" t="s">
        <v>37</v>
      </c>
      <c r="E339" t="s">
        <v>46</v>
      </c>
      <c r="F339" t="s">
        <v>33</v>
      </c>
      <c r="G339" s="1">
        <v>45389</v>
      </c>
      <c r="H339">
        <v>227</v>
      </c>
      <c r="I339">
        <v>40</v>
      </c>
      <c r="J339">
        <v>32</v>
      </c>
      <c r="K339">
        <v>219</v>
      </c>
      <c r="L339">
        <v>100</v>
      </c>
      <c r="M339">
        <v>114</v>
      </c>
      <c r="N339">
        <v>13</v>
      </c>
      <c r="O339">
        <v>9</v>
      </c>
      <c r="P339" t="s">
        <v>24</v>
      </c>
      <c r="Q339">
        <v>32</v>
      </c>
      <c r="R339" s="2">
        <v>24966</v>
      </c>
    </row>
    <row r="340" spans="1:18" x14ac:dyDescent="0.35">
      <c r="A340" t="s">
        <v>34</v>
      </c>
      <c r="B340" t="s">
        <v>35</v>
      </c>
      <c r="C340" t="s">
        <v>20</v>
      </c>
      <c r="D340" t="s">
        <v>31</v>
      </c>
      <c r="E340" t="s">
        <v>47</v>
      </c>
      <c r="F340" t="s">
        <v>33</v>
      </c>
      <c r="G340" s="1">
        <v>45390</v>
      </c>
      <c r="H340">
        <v>192</v>
      </c>
      <c r="I340">
        <v>31</v>
      </c>
      <c r="J340">
        <v>12</v>
      </c>
      <c r="K340">
        <v>173</v>
      </c>
      <c r="L340">
        <v>68</v>
      </c>
      <c r="M340">
        <v>892</v>
      </c>
      <c r="N340">
        <v>9</v>
      </c>
      <c r="O340">
        <v>9</v>
      </c>
      <c r="P340" t="s">
        <v>24</v>
      </c>
      <c r="Q340">
        <v>15</v>
      </c>
      <c r="R340" s="2">
        <v>154316</v>
      </c>
    </row>
    <row r="341" spans="1:18" x14ac:dyDescent="0.35">
      <c r="A341" t="s">
        <v>28</v>
      </c>
      <c r="B341" t="s">
        <v>29</v>
      </c>
      <c r="C341" t="s">
        <v>20</v>
      </c>
      <c r="D341" t="s">
        <v>21</v>
      </c>
      <c r="E341" t="s">
        <v>22</v>
      </c>
      <c r="F341" t="s">
        <v>23</v>
      </c>
      <c r="G341" s="1">
        <v>45391</v>
      </c>
      <c r="H341">
        <v>218</v>
      </c>
      <c r="I341">
        <v>33</v>
      </c>
      <c r="J341">
        <v>12</v>
      </c>
      <c r="K341">
        <v>197</v>
      </c>
      <c r="L341">
        <v>69</v>
      </c>
      <c r="M341">
        <v>736</v>
      </c>
      <c r="N341">
        <v>2</v>
      </c>
      <c r="O341">
        <v>7</v>
      </c>
      <c r="P341" t="s">
        <v>24</v>
      </c>
      <c r="Q341">
        <v>11</v>
      </c>
      <c r="R341" s="2">
        <v>144992</v>
      </c>
    </row>
    <row r="342" spans="1:18" x14ac:dyDescent="0.35">
      <c r="A342" t="s">
        <v>34</v>
      </c>
      <c r="B342" t="s">
        <v>35</v>
      </c>
      <c r="C342" t="s">
        <v>20</v>
      </c>
      <c r="D342" t="s">
        <v>37</v>
      </c>
      <c r="E342" t="s">
        <v>46</v>
      </c>
      <c r="F342" t="s">
        <v>33</v>
      </c>
      <c r="G342" s="1">
        <v>45392</v>
      </c>
      <c r="H342">
        <v>60</v>
      </c>
      <c r="I342">
        <v>50</v>
      </c>
      <c r="J342">
        <v>57</v>
      </c>
      <c r="K342">
        <v>67</v>
      </c>
      <c r="L342">
        <v>71</v>
      </c>
      <c r="M342">
        <v>1226</v>
      </c>
      <c r="N342">
        <v>12</v>
      </c>
      <c r="O342">
        <v>6</v>
      </c>
      <c r="P342" t="s">
        <v>36</v>
      </c>
      <c r="Q342">
        <v>60</v>
      </c>
      <c r="R342" s="2">
        <v>82142</v>
      </c>
    </row>
    <row r="343" spans="1:18" x14ac:dyDescent="0.35">
      <c r="A343" t="s">
        <v>41</v>
      </c>
      <c r="B343" t="s">
        <v>42</v>
      </c>
      <c r="C343" t="s">
        <v>20</v>
      </c>
      <c r="D343" t="s">
        <v>39</v>
      </c>
      <c r="E343" t="s">
        <v>45</v>
      </c>
      <c r="F343" t="s">
        <v>33</v>
      </c>
      <c r="G343" s="1">
        <v>45393</v>
      </c>
      <c r="H343">
        <v>148</v>
      </c>
      <c r="I343">
        <v>31</v>
      </c>
      <c r="J343">
        <v>66</v>
      </c>
      <c r="K343">
        <v>183</v>
      </c>
      <c r="L343">
        <v>80</v>
      </c>
      <c r="M343">
        <v>1225</v>
      </c>
      <c r="N343">
        <v>7</v>
      </c>
      <c r="O343">
        <v>8</v>
      </c>
      <c r="P343" t="s">
        <v>24</v>
      </c>
      <c r="Q343">
        <v>29</v>
      </c>
      <c r="R343" s="2">
        <v>224175</v>
      </c>
    </row>
    <row r="344" spans="1:18" x14ac:dyDescent="0.35">
      <c r="A344" t="s">
        <v>18</v>
      </c>
      <c r="B344" t="s">
        <v>19</v>
      </c>
      <c r="C344" t="s">
        <v>20</v>
      </c>
      <c r="D344" t="s">
        <v>31</v>
      </c>
      <c r="E344" t="s">
        <v>32</v>
      </c>
      <c r="F344" t="s">
        <v>33</v>
      </c>
      <c r="G344" s="1">
        <v>45394</v>
      </c>
      <c r="H344">
        <v>98</v>
      </c>
      <c r="I344">
        <v>7</v>
      </c>
      <c r="J344">
        <v>19</v>
      </c>
      <c r="K344">
        <v>110</v>
      </c>
      <c r="L344">
        <v>58</v>
      </c>
      <c r="M344">
        <v>1232</v>
      </c>
      <c r="N344">
        <v>10</v>
      </c>
      <c r="O344">
        <v>2</v>
      </c>
      <c r="P344" t="s">
        <v>24</v>
      </c>
      <c r="Q344">
        <v>45</v>
      </c>
      <c r="R344" s="2">
        <v>135520</v>
      </c>
    </row>
    <row r="345" spans="1:18" x14ac:dyDescent="0.35">
      <c r="A345" t="s">
        <v>25</v>
      </c>
      <c r="B345" t="s">
        <v>26</v>
      </c>
      <c r="C345" t="s">
        <v>20</v>
      </c>
      <c r="D345" t="s">
        <v>21</v>
      </c>
      <c r="E345" t="s">
        <v>27</v>
      </c>
      <c r="F345" t="s">
        <v>23</v>
      </c>
      <c r="G345" s="1">
        <v>45395</v>
      </c>
      <c r="H345">
        <v>82</v>
      </c>
      <c r="I345">
        <v>28</v>
      </c>
      <c r="J345">
        <v>4</v>
      </c>
      <c r="K345">
        <v>58</v>
      </c>
      <c r="L345">
        <v>60</v>
      </c>
      <c r="M345">
        <v>1151</v>
      </c>
      <c r="N345">
        <v>6</v>
      </c>
      <c r="O345">
        <v>6</v>
      </c>
      <c r="P345" t="s">
        <v>36</v>
      </c>
      <c r="Q345">
        <v>70</v>
      </c>
      <c r="R345" s="2">
        <v>66758</v>
      </c>
    </row>
    <row r="346" spans="1:18" x14ac:dyDescent="0.35">
      <c r="A346" t="s">
        <v>18</v>
      </c>
      <c r="B346" t="s">
        <v>19</v>
      </c>
      <c r="C346" t="s">
        <v>20</v>
      </c>
      <c r="D346" t="s">
        <v>37</v>
      </c>
      <c r="E346" t="s">
        <v>38</v>
      </c>
      <c r="F346" t="s">
        <v>23</v>
      </c>
      <c r="G346" s="1">
        <v>45396</v>
      </c>
      <c r="H346">
        <v>219</v>
      </c>
      <c r="I346">
        <v>13</v>
      </c>
      <c r="J346">
        <v>61</v>
      </c>
      <c r="K346">
        <v>267</v>
      </c>
      <c r="L346">
        <v>82</v>
      </c>
      <c r="M346">
        <v>629</v>
      </c>
      <c r="N346">
        <v>3</v>
      </c>
      <c r="O346">
        <v>8</v>
      </c>
      <c r="P346" t="s">
        <v>24</v>
      </c>
      <c r="Q346">
        <v>65</v>
      </c>
      <c r="R346" s="2">
        <v>167943</v>
      </c>
    </row>
    <row r="347" spans="1:18" x14ac:dyDescent="0.35">
      <c r="A347" t="s">
        <v>41</v>
      </c>
      <c r="B347" t="s">
        <v>42</v>
      </c>
      <c r="C347" t="s">
        <v>20</v>
      </c>
      <c r="D347" t="s">
        <v>43</v>
      </c>
      <c r="E347" t="s">
        <v>48</v>
      </c>
      <c r="F347" t="s">
        <v>23</v>
      </c>
      <c r="G347" s="1">
        <v>45397</v>
      </c>
      <c r="H347">
        <v>247</v>
      </c>
      <c r="I347">
        <v>27</v>
      </c>
      <c r="J347">
        <v>24</v>
      </c>
      <c r="K347">
        <v>244</v>
      </c>
      <c r="L347">
        <v>41</v>
      </c>
      <c r="M347">
        <v>901</v>
      </c>
      <c r="N347">
        <v>13</v>
      </c>
      <c r="O347">
        <v>9</v>
      </c>
      <c r="P347" t="s">
        <v>24</v>
      </c>
      <c r="Q347">
        <v>37</v>
      </c>
      <c r="R347" s="2">
        <v>219844</v>
      </c>
    </row>
    <row r="348" spans="1:18" x14ac:dyDescent="0.35">
      <c r="A348" t="s">
        <v>18</v>
      </c>
      <c r="B348" t="s">
        <v>19</v>
      </c>
      <c r="C348" t="s">
        <v>20</v>
      </c>
      <c r="D348" t="s">
        <v>31</v>
      </c>
      <c r="E348" t="s">
        <v>32</v>
      </c>
      <c r="F348" t="s">
        <v>33</v>
      </c>
      <c r="G348" s="1">
        <v>45398</v>
      </c>
      <c r="H348">
        <v>59</v>
      </c>
      <c r="I348">
        <v>38</v>
      </c>
      <c r="J348">
        <v>62</v>
      </c>
      <c r="K348">
        <v>83</v>
      </c>
      <c r="L348">
        <v>96</v>
      </c>
      <c r="M348">
        <v>807</v>
      </c>
      <c r="N348">
        <v>2</v>
      </c>
      <c r="O348">
        <v>9</v>
      </c>
      <c r="P348" t="s">
        <v>36</v>
      </c>
      <c r="Q348">
        <v>51</v>
      </c>
      <c r="R348" s="2">
        <v>66981</v>
      </c>
    </row>
    <row r="349" spans="1:18" x14ac:dyDescent="0.35">
      <c r="A349" t="s">
        <v>18</v>
      </c>
      <c r="B349" t="s">
        <v>19</v>
      </c>
      <c r="C349" t="s">
        <v>20</v>
      </c>
      <c r="D349" t="s">
        <v>43</v>
      </c>
      <c r="E349" t="s">
        <v>48</v>
      </c>
      <c r="F349" t="s">
        <v>30</v>
      </c>
      <c r="G349" s="1">
        <v>45399</v>
      </c>
      <c r="H349">
        <v>219</v>
      </c>
      <c r="I349">
        <v>19</v>
      </c>
      <c r="J349">
        <v>1</v>
      </c>
      <c r="K349">
        <v>201</v>
      </c>
      <c r="L349">
        <v>84</v>
      </c>
      <c r="M349">
        <v>1176</v>
      </c>
      <c r="N349">
        <v>5</v>
      </c>
      <c r="O349">
        <v>2</v>
      </c>
      <c r="P349" t="s">
        <v>24</v>
      </c>
      <c r="Q349">
        <v>36</v>
      </c>
      <c r="R349" s="2">
        <v>236376</v>
      </c>
    </row>
    <row r="350" spans="1:18" x14ac:dyDescent="0.35">
      <c r="A350" t="s">
        <v>34</v>
      </c>
      <c r="B350" t="s">
        <v>35</v>
      </c>
      <c r="C350" t="s">
        <v>20</v>
      </c>
      <c r="D350" t="s">
        <v>39</v>
      </c>
      <c r="E350" t="s">
        <v>40</v>
      </c>
      <c r="F350" t="s">
        <v>23</v>
      </c>
      <c r="G350" s="1">
        <v>45400</v>
      </c>
      <c r="H350">
        <v>110</v>
      </c>
      <c r="I350">
        <v>10</v>
      </c>
      <c r="J350">
        <v>14</v>
      </c>
      <c r="K350">
        <v>114</v>
      </c>
      <c r="L350">
        <v>55</v>
      </c>
      <c r="M350">
        <v>507</v>
      </c>
      <c r="N350">
        <v>8</v>
      </c>
      <c r="O350">
        <v>1</v>
      </c>
      <c r="P350" t="s">
        <v>24</v>
      </c>
      <c r="Q350">
        <v>64</v>
      </c>
      <c r="R350" s="2">
        <v>57798</v>
      </c>
    </row>
    <row r="351" spans="1:18" x14ac:dyDescent="0.35">
      <c r="A351" t="s">
        <v>28</v>
      </c>
      <c r="B351" t="s">
        <v>29</v>
      </c>
      <c r="C351" t="s">
        <v>20</v>
      </c>
      <c r="D351" t="s">
        <v>43</v>
      </c>
      <c r="E351" t="s">
        <v>48</v>
      </c>
      <c r="F351" t="s">
        <v>23</v>
      </c>
      <c r="G351" s="1">
        <v>45401</v>
      </c>
      <c r="H351">
        <v>76</v>
      </c>
      <c r="I351">
        <v>43</v>
      </c>
      <c r="J351">
        <v>50</v>
      </c>
      <c r="K351">
        <v>83</v>
      </c>
      <c r="L351">
        <v>47</v>
      </c>
      <c r="M351">
        <v>1347</v>
      </c>
      <c r="N351">
        <v>4</v>
      </c>
      <c r="O351">
        <v>1</v>
      </c>
      <c r="P351" t="s">
        <v>24</v>
      </c>
      <c r="Q351">
        <v>66</v>
      </c>
      <c r="R351" s="2">
        <v>111801</v>
      </c>
    </row>
    <row r="352" spans="1:18" x14ac:dyDescent="0.35">
      <c r="A352" t="s">
        <v>25</v>
      </c>
      <c r="B352" t="s">
        <v>26</v>
      </c>
      <c r="C352" t="s">
        <v>20</v>
      </c>
      <c r="D352" t="s">
        <v>43</v>
      </c>
      <c r="E352" t="s">
        <v>48</v>
      </c>
      <c r="F352" t="s">
        <v>23</v>
      </c>
      <c r="G352" s="1">
        <v>45402</v>
      </c>
      <c r="H352">
        <v>236</v>
      </c>
      <c r="I352">
        <v>51</v>
      </c>
      <c r="J352">
        <v>45</v>
      </c>
      <c r="K352">
        <v>230</v>
      </c>
      <c r="L352">
        <v>55</v>
      </c>
      <c r="M352">
        <v>1307</v>
      </c>
      <c r="N352">
        <v>8</v>
      </c>
      <c r="O352">
        <v>0</v>
      </c>
      <c r="P352" t="s">
        <v>24</v>
      </c>
      <c r="Q352">
        <v>38</v>
      </c>
      <c r="R352" s="2">
        <v>300610</v>
      </c>
    </row>
    <row r="353" spans="1:18" x14ac:dyDescent="0.35">
      <c r="A353" t="s">
        <v>28</v>
      </c>
      <c r="B353" t="s">
        <v>29</v>
      </c>
      <c r="C353" t="s">
        <v>20</v>
      </c>
      <c r="D353" t="s">
        <v>37</v>
      </c>
      <c r="E353" t="s">
        <v>38</v>
      </c>
      <c r="F353" t="s">
        <v>30</v>
      </c>
      <c r="G353" s="1">
        <v>45403</v>
      </c>
      <c r="H353">
        <v>164</v>
      </c>
      <c r="I353">
        <v>48</v>
      </c>
      <c r="J353">
        <v>71</v>
      </c>
      <c r="K353">
        <v>187</v>
      </c>
      <c r="L353">
        <v>44</v>
      </c>
      <c r="M353">
        <v>1168</v>
      </c>
      <c r="N353">
        <v>13</v>
      </c>
      <c r="O353">
        <v>3</v>
      </c>
      <c r="P353" t="s">
        <v>24</v>
      </c>
      <c r="Q353">
        <v>44</v>
      </c>
      <c r="R353" s="2">
        <v>218416</v>
      </c>
    </row>
    <row r="354" spans="1:18" x14ac:dyDescent="0.35">
      <c r="A354" t="s">
        <v>25</v>
      </c>
      <c r="B354" t="s">
        <v>26</v>
      </c>
      <c r="C354" t="s">
        <v>20</v>
      </c>
      <c r="D354" t="s">
        <v>37</v>
      </c>
      <c r="E354" t="s">
        <v>46</v>
      </c>
      <c r="F354" t="s">
        <v>33</v>
      </c>
      <c r="G354" s="1">
        <v>45404</v>
      </c>
      <c r="H354">
        <v>184</v>
      </c>
      <c r="I354">
        <v>60</v>
      </c>
      <c r="J354">
        <v>15</v>
      </c>
      <c r="K354">
        <v>139</v>
      </c>
      <c r="L354">
        <v>41</v>
      </c>
      <c r="M354">
        <v>792</v>
      </c>
      <c r="N354">
        <v>13</v>
      </c>
      <c r="O354">
        <v>9</v>
      </c>
      <c r="P354" t="s">
        <v>24</v>
      </c>
      <c r="Q354">
        <v>21</v>
      </c>
      <c r="R354" s="2">
        <v>110088</v>
      </c>
    </row>
    <row r="355" spans="1:18" x14ac:dyDescent="0.35">
      <c r="A355" t="s">
        <v>25</v>
      </c>
      <c r="B355" t="s">
        <v>26</v>
      </c>
      <c r="C355" t="s">
        <v>20</v>
      </c>
      <c r="D355" t="s">
        <v>37</v>
      </c>
      <c r="E355" t="s">
        <v>46</v>
      </c>
      <c r="F355" t="s">
        <v>33</v>
      </c>
      <c r="G355" s="1">
        <v>45405</v>
      </c>
      <c r="H355">
        <v>207</v>
      </c>
      <c r="I355">
        <v>43</v>
      </c>
      <c r="J355">
        <v>8</v>
      </c>
      <c r="K355">
        <v>172</v>
      </c>
      <c r="L355">
        <v>77</v>
      </c>
      <c r="M355">
        <v>1289</v>
      </c>
      <c r="N355">
        <v>6</v>
      </c>
      <c r="O355">
        <v>10</v>
      </c>
      <c r="P355" t="s">
        <v>24</v>
      </c>
      <c r="Q355">
        <v>31</v>
      </c>
      <c r="R355" s="2">
        <v>221708</v>
      </c>
    </row>
    <row r="356" spans="1:18" x14ac:dyDescent="0.35">
      <c r="A356" t="s">
        <v>28</v>
      </c>
      <c r="B356" t="s">
        <v>29</v>
      </c>
      <c r="C356" t="s">
        <v>20</v>
      </c>
      <c r="D356" t="s">
        <v>21</v>
      </c>
      <c r="E356" t="s">
        <v>22</v>
      </c>
      <c r="F356" t="s">
        <v>30</v>
      </c>
      <c r="G356" s="1">
        <v>45406</v>
      </c>
      <c r="H356">
        <v>181</v>
      </c>
      <c r="I356">
        <v>12</v>
      </c>
      <c r="J356">
        <v>60</v>
      </c>
      <c r="K356">
        <v>229</v>
      </c>
      <c r="L356">
        <v>41</v>
      </c>
      <c r="M356">
        <v>840</v>
      </c>
      <c r="N356">
        <v>15</v>
      </c>
      <c r="O356">
        <v>8</v>
      </c>
      <c r="P356" t="s">
        <v>24</v>
      </c>
      <c r="Q356">
        <v>34</v>
      </c>
      <c r="R356" s="2">
        <v>192360</v>
      </c>
    </row>
    <row r="357" spans="1:18" x14ac:dyDescent="0.35">
      <c r="A357" t="s">
        <v>34</v>
      </c>
      <c r="B357" t="s">
        <v>35</v>
      </c>
      <c r="C357" t="s">
        <v>20</v>
      </c>
      <c r="D357" t="s">
        <v>43</v>
      </c>
      <c r="E357" t="s">
        <v>48</v>
      </c>
      <c r="F357" t="s">
        <v>33</v>
      </c>
      <c r="G357" s="1">
        <v>45407</v>
      </c>
      <c r="H357">
        <v>187</v>
      </c>
      <c r="I357">
        <v>48</v>
      </c>
      <c r="J357">
        <v>35</v>
      </c>
      <c r="K357">
        <v>174</v>
      </c>
      <c r="L357">
        <v>64</v>
      </c>
      <c r="M357">
        <v>645</v>
      </c>
      <c r="N357">
        <v>14</v>
      </c>
      <c r="O357">
        <v>7</v>
      </c>
      <c r="P357" t="s">
        <v>24</v>
      </c>
      <c r="Q357">
        <v>49</v>
      </c>
      <c r="R357" s="2">
        <v>112230</v>
      </c>
    </row>
    <row r="358" spans="1:18" x14ac:dyDescent="0.35">
      <c r="A358" t="s">
        <v>34</v>
      </c>
      <c r="B358" t="s">
        <v>35</v>
      </c>
      <c r="C358" t="s">
        <v>20</v>
      </c>
      <c r="D358" t="s">
        <v>21</v>
      </c>
      <c r="E358" t="s">
        <v>22</v>
      </c>
      <c r="F358" t="s">
        <v>23</v>
      </c>
      <c r="G358" s="1">
        <v>45408</v>
      </c>
      <c r="H358">
        <v>80</v>
      </c>
      <c r="I358">
        <v>42</v>
      </c>
      <c r="J358">
        <v>44</v>
      </c>
      <c r="K358">
        <v>82</v>
      </c>
      <c r="L358">
        <v>46</v>
      </c>
      <c r="M358">
        <v>1340</v>
      </c>
      <c r="N358">
        <v>8</v>
      </c>
      <c r="O358">
        <v>3</v>
      </c>
      <c r="P358" t="s">
        <v>24</v>
      </c>
      <c r="Q358">
        <v>41</v>
      </c>
      <c r="R358" s="2">
        <v>109880</v>
      </c>
    </row>
    <row r="359" spans="1:18" x14ac:dyDescent="0.35">
      <c r="A359" t="s">
        <v>25</v>
      </c>
      <c r="B359" t="s">
        <v>26</v>
      </c>
      <c r="C359" t="s">
        <v>20</v>
      </c>
      <c r="D359" t="s">
        <v>31</v>
      </c>
      <c r="E359" t="s">
        <v>32</v>
      </c>
      <c r="F359" t="s">
        <v>30</v>
      </c>
      <c r="G359" s="1">
        <v>45409</v>
      </c>
      <c r="H359">
        <v>118</v>
      </c>
      <c r="I359">
        <v>28</v>
      </c>
      <c r="J359">
        <v>65</v>
      </c>
      <c r="K359">
        <v>155</v>
      </c>
      <c r="L359">
        <v>75</v>
      </c>
      <c r="M359">
        <v>1223</v>
      </c>
      <c r="N359">
        <v>4</v>
      </c>
      <c r="O359">
        <v>7</v>
      </c>
      <c r="P359" t="s">
        <v>24</v>
      </c>
      <c r="Q359">
        <v>35</v>
      </c>
      <c r="R359" s="2">
        <v>189565</v>
      </c>
    </row>
    <row r="360" spans="1:18" x14ac:dyDescent="0.35">
      <c r="A360" t="s">
        <v>34</v>
      </c>
      <c r="B360" t="s">
        <v>35</v>
      </c>
      <c r="C360" t="s">
        <v>20</v>
      </c>
      <c r="D360" t="s">
        <v>37</v>
      </c>
      <c r="E360" t="s">
        <v>38</v>
      </c>
      <c r="F360" t="s">
        <v>30</v>
      </c>
      <c r="G360" s="1">
        <v>45410</v>
      </c>
      <c r="H360">
        <v>149</v>
      </c>
      <c r="I360">
        <v>21</v>
      </c>
      <c r="J360">
        <v>14</v>
      </c>
      <c r="K360">
        <v>142</v>
      </c>
      <c r="L360">
        <v>69</v>
      </c>
      <c r="M360">
        <v>709</v>
      </c>
      <c r="N360">
        <v>12</v>
      </c>
      <c r="O360">
        <v>2</v>
      </c>
      <c r="P360" t="s">
        <v>24</v>
      </c>
      <c r="Q360">
        <v>14</v>
      </c>
      <c r="R360" s="2">
        <v>100678</v>
      </c>
    </row>
    <row r="361" spans="1:18" x14ac:dyDescent="0.35">
      <c r="A361" t="s">
        <v>41</v>
      </c>
      <c r="B361" t="s">
        <v>42</v>
      </c>
      <c r="C361" t="s">
        <v>20</v>
      </c>
      <c r="D361" t="s">
        <v>31</v>
      </c>
      <c r="E361" t="s">
        <v>32</v>
      </c>
      <c r="F361" t="s">
        <v>33</v>
      </c>
      <c r="G361" s="1">
        <v>45411</v>
      </c>
      <c r="H361">
        <v>68</v>
      </c>
      <c r="I361">
        <v>10</v>
      </c>
      <c r="J361">
        <v>50</v>
      </c>
      <c r="K361">
        <v>108</v>
      </c>
      <c r="L361">
        <v>50</v>
      </c>
      <c r="M361">
        <v>101</v>
      </c>
      <c r="N361">
        <v>10</v>
      </c>
      <c r="O361">
        <v>9</v>
      </c>
      <c r="P361" t="s">
        <v>24</v>
      </c>
      <c r="Q361">
        <v>48</v>
      </c>
      <c r="R361" s="2">
        <v>10908</v>
      </c>
    </row>
    <row r="362" spans="1:18" x14ac:dyDescent="0.35">
      <c r="A362" t="s">
        <v>41</v>
      </c>
      <c r="B362" t="s">
        <v>42</v>
      </c>
      <c r="C362" t="s">
        <v>20</v>
      </c>
      <c r="D362" t="s">
        <v>39</v>
      </c>
      <c r="E362" t="s">
        <v>45</v>
      </c>
      <c r="F362" t="s">
        <v>23</v>
      </c>
      <c r="G362" s="1">
        <v>45292</v>
      </c>
      <c r="H362">
        <v>177</v>
      </c>
      <c r="I362">
        <v>30</v>
      </c>
      <c r="J362">
        <v>44</v>
      </c>
      <c r="K362">
        <v>191</v>
      </c>
      <c r="L362">
        <v>66</v>
      </c>
      <c r="M362">
        <v>1088</v>
      </c>
      <c r="N362">
        <v>7</v>
      </c>
      <c r="O362">
        <v>8</v>
      </c>
      <c r="P362" t="s">
        <v>24</v>
      </c>
      <c r="Q362">
        <v>37</v>
      </c>
      <c r="R362" s="2">
        <v>207808</v>
      </c>
    </row>
    <row r="363" spans="1:18" x14ac:dyDescent="0.35">
      <c r="A363" t="s">
        <v>34</v>
      </c>
      <c r="B363" t="s">
        <v>35</v>
      </c>
      <c r="C363" t="s">
        <v>20</v>
      </c>
      <c r="D363" t="s">
        <v>31</v>
      </c>
      <c r="E363" t="s">
        <v>47</v>
      </c>
      <c r="F363" t="s">
        <v>30</v>
      </c>
      <c r="G363" s="1">
        <v>45293</v>
      </c>
      <c r="H363">
        <v>129</v>
      </c>
      <c r="I363">
        <v>20</v>
      </c>
      <c r="J363">
        <v>2</v>
      </c>
      <c r="K363">
        <v>111</v>
      </c>
      <c r="L363">
        <v>85</v>
      </c>
      <c r="M363">
        <v>399</v>
      </c>
      <c r="N363">
        <v>11</v>
      </c>
      <c r="O363">
        <v>7</v>
      </c>
      <c r="P363" t="s">
        <v>24</v>
      </c>
      <c r="Q363">
        <v>26</v>
      </c>
      <c r="R363" s="2">
        <v>44289</v>
      </c>
    </row>
    <row r="364" spans="1:18" x14ac:dyDescent="0.35">
      <c r="A364" t="s">
        <v>41</v>
      </c>
      <c r="B364" t="s">
        <v>42</v>
      </c>
      <c r="C364" t="s">
        <v>20</v>
      </c>
      <c r="D364" t="s">
        <v>31</v>
      </c>
      <c r="E364" t="s">
        <v>32</v>
      </c>
      <c r="F364" t="s">
        <v>23</v>
      </c>
      <c r="G364" s="1">
        <v>45294</v>
      </c>
      <c r="H364">
        <v>179</v>
      </c>
      <c r="I364">
        <v>5</v>
      </c>
      <c r="J364">
        <v>63</v>
      </c>
      <c r="K364">
        <v>237</v>
      </c>
      <c r="L364">
        <v>97</v>
      </c>
      <c r="M364">
        <v>1153</v>
      </c>
      <c r="N364">
        <v>4</v>
      </c>
      <c r="O364">
        <v>10</v>
      </c>
      <c r="P364" t="s">
        <v>24</v>
      </c>
      <c r="Q364">
        <v>11</v>
      </c>
      <c r="R364" s="2">
        <v>273261</v>
      </c>
    </row>
    <row r="365" spans="1:18" x14ac:dyDescent="0.35">
      <c r="A365" t="s">
        <v>34</v>
      </c>
      <c r="B365" t="s">
        <v>35</v>
      </c>
      <c r="C365" t="s">
        <v>20</v>
      </c>
      <c r="D365" t="s">
        <v>43</v>
      </c>
      <c r="E365" t="s">
        <v>44</v>
      </c>
      <c r="F365" t="s">
        <v>33</v>
      </c>
      <c r="G365" s="1">
        <v>45295</v>
      </c>
      <c r="H365">
        <v>226</v>
      </c>
      <c r="I365">
        <v>37</v>
      </c>
      <c r="J365">
        <v>53</v>
      </c>
      <c r="K365">
        <v>242</v>
      </c>
      <c r="L365">
        <v>84</v>
      </c>
      <c r="M365">
        <v>959</v>
      </c>
      <c r="N365">
        <v>14</v>
      </c>
      <c r="O365">
        <v>5</v>
      </c>
      <c r="P365" t="s">
        <v>24</v>
      </c>
      <c r="Q365">
        <v>45</v>
      </c>
      <c r="R365" s="2">
        <v>232078</v>
      </c>
    </row>
    <row r="366" spans="1:18" x14ac:dyDescent="0.35">
      <c r="A366" t="s">
        <v>25</v>
      </c>
      <c r="B366" t="s">
        <v>26</v>
      </c>
      <c r="C366" t="s">
        <v>20</v>
      </c>
      <c r="D366" t="s">
        <v>43</v>
      </c>
      <c r="E366" t="s">
        <v>48</v>
      </c>
      <c r="F366" t="s">
        <v>33</v>
      </c>
      <c r="G366" s="1">
        <v>45296</v>
      </c>
      <c r="H366">
        <v>180</v>
      </c>
      <c r="I366">
        <v>59</v>
      </c>
      <c r="J366">
        <v>15</v>
      </c>
      <c r="K366">
        <v>136</v>
      </c>
      <c r="L366">
        <v>73</v>
      </c>
      <c r="M366">
        <v>306</v>
      </c>
      <c r="N366">
        <v>12</v>
      </c>
      <c r="O366">
        <v>10</v>
      </c>
      <c r="P366" t="s">
        <v>24</v>
      </c>
      <c r="Q366">
        <v>26</v>
      </c>
      <c r="R366" s="2">
        <v>41616</v>
      </c>
    </row>
    <row r="367" spans="1:18" x14ac:dyDescent="0.35">
      <c r="A367" t="s">
        <v>25</v>
      </c>
      <c r="B367" t="s">
        <v>26</v>
      </c>
      <c r="C367" t="s">
        <v>20</v>
      </c>
      <c r="D367" t="s">
        <v>43</v>
      </c>
      <c r="E367" t="s">
        <v>44</v>
      </c>
      <c r="F367" t="s">
        <v>23</v>
      </c>
      <c r="G367" s="1">
        <v>45297</v>
      </c>
      <c r="H367">
        <v>68</v>
      </c>
      <c r="I367">
        <v>55</v>
      </c>
      <c r="J367">
        <v>75</v>
      </c>
      <c r="K367">
        <v>88</v>
      </c>
      <c r="L367">
        <v>49</v>
      </c>
      <c r="M367">
        <v>58</v>
      </c>
      <c r="N367">
        <v>9</v>
      </c>
      <c r="O367">
        <v>1</v>
      </c>
      <c r="P367" t="s">
        <v>24</v>
      </c>
      <c r="Q367">
        <v>32</v>
      </c>
      <c r="R367" s="2">
        <v>5104</v>
      </c>
    </row>
    <row r="368" spans="1:18" x14ac:dyDescent="0.35">
      <c r="A368" t="s">
        <v>25</v>
      </c>
      <c r="B368" t="s">
        <v>26</v>
      </c>
      <c r="C368" t="s">
        <v>20</v>
      </c>
      <c r="D368" t="s">
        <v>43</v>
      </c>
      <c r="E368" t="s">
        <v>48</v>
      </c>
      <c r="F368" t="s">
        <v>33</v>
      </c>
      <c r="G368" s="1">
        <v>45298</v>
      </c>
      <c r="H368">
        <v>274</v>
      </c>
      <c r="I368">
        <v>57</v>
      </c>
      <c r="J368">
        <v>70</v>
      </c>
      <c r="K368">
        <v>287</v>
      </c>
      <c r="L368">
        <v>92</v>
      </c>
      <c r="M368">
        <v>312</v>
      </c>
      <c r="N368">
        <v>10</v>
      </c>
      <c r="O368">
        <v>9</v>
      </c>
      <c r="P368" t="s">
        <v>24</v>
      </c>
      <c r="Q368">
        <v>58</v>
      </c>
      <c r="R368" s="2">
        <v>89544</v>
      </c>
    </row>
    <row r="369" spans="1:18" x14ac:dyDescent="0.35">
      <c r="A369" t="s">
        <v>34</v>
      </c>
      <c r="B369" t="s">
        <v>35</v>
      </c>
      <c r="C369" t="s">
        <v>20</v>
      </c>
      <c r="D369" t="s">
        <v>43</v>
      </c>
      <c r="E369" t="s">
        <v>48</v>
      </c>
      <c r="F369" t="s">
        <v>23</v>
      </c>
      <c r="G369" s="1">
        <v>45299</v>
      </c>
      <c r="H369">
        <v>135</v>
      </c>
      <c r="I369">
        <v>20</v>
      </c>
      <c r="J369">
        <v>2</v>
      </c>
      <c r="K369">
        <v>117</v>
      </c>
      <c r="L369">
        <v>54</v>
      </c>
      <c r="M369">
        <v>875</v>
      </c>
      <c r="N369">
        <v>14</v>
      </c>
      <c r="O369">
        <v>1</v>
      </c>
      <c r="P369" t="s">
        <v>24</v>
      </c>
      <c r="Q369">
        <v>24</v>
      </c>
      <c r="R369" s="2">
        <v>102375</v>
      </c>
    </row>
    <row r="370" spans="1:18" x14ac:dyDescent="0.35">
      <c r="A370" t="s">
        <v>25</v>
      </c>
      <c r="B370" t="s">
        <v>26</v>
      </c>
      <c r="C370" t="s">
        <v>20</v>
      </c>
      <c r="D370" t="s">
        <v>43</v>
      </c>
      <c r="E370" t="s">
        <v>44</v>
      </c>
      <c r="F370" t="s">
        <v>30</v>
      </c>
      <c r="G370" s="1">
        <v>45300</v>
      </c>
      <c r="H370">
        <v>246</v>
      </c>
      <c r="I370">
        <v>60</v>
      </c>
      <c r="J370">
        <v>26</v>
      </c>
      <c r="K370">
        <v>212</v>
      </c>
      <c r="L370">
        <v>46</v>
      </c>
      <c r="M370">
        <v>1435</v>
      </c>
      <c r="N370">
        <v>15</v>
      </c>
      <c r="O370">
        <v>3</v>
      </c>
      <c r="P370" t="s">
        <v>24</v>
      </c>
      <c r="Q370">
        <v>54</v>
      </c>
      <c r="R370" s="2">
        <v>304220</v>
      </c>
    </row>
    <row r="371" spans="1:18" x14ac:dyDescent="0.35">
      <c r="A371" t="s">
        <v>18</v>
      </c>
      <c r="B371" t="s">
        <v>19</v>
      </c>
      <c r="C371" t="s">
        <v>20</v>
      </c>
      <c r="D371" t="s">
        <v>31</v>
      </c>
      <c r="E371" t="s">
        <v>47</v>
      </c>
      <c r="F371" t="s">
        <v>33</v>
      </c>
      <c r="G371" s="1">
        <v>45301</v>
      </c>
      <c r="H371">
        <v>237</v>
      </c>
      <c r="I371">
        <v>42</v>
      </c>
      <c r="J371">
        <v>40</v>
      </c>
      <c r="K371">
        <v>235</v>
      </c>
      <c r="L371">
        <v>58</v>
      </c>
      <c r="M371">
        <v>986</v>
      </c>
      <c r="N371">
        <v>5</v>
      </c>
      <c r="O371">
        <v>3</v>
      </c>
      <c r="P371" t="s">
        <v>24</v>
      </c>
      <c r="Q371">
        <v>37</v>
      </c>
      <c r="R371" s="2">
        <v>231710</v>
      </c>
    </row>
    <row r="372" spans="1:18" x14ac:dyDescent="0.35">
      <c r="A372" t="s">
        <v>25</v>
      </c>
      <c r="B372" t="s">
        <v>26</v>
      </c>
      <c r="C372" t="s">
        <v>20</v>
      </c>
      <c r="D372" t="s">
        <v>43</v>
      </c>
      <c r="E372" t="s">
        <v>44</v>
      </c>
      <c r="F372" t="s">
        <v>23</v>
      </c>
      <c r="G372" s="1">
        <v>45302</v>
      </c>
      <c r="H372">
        <v>256</v>
      </c>
      <c r="I372">
        <v>6</v>
      </c>
      <c r="J372">
        <v>43</v>
      </c>
      <c r="K372">
        <v>293</v>
      </c>
      <c r="L372">
        <v>55</v>
      </c>
      <c r="M372">
        <v>385</v>
      </c>
      <c r="N372">
        <v>12</v>
      </c>
      <c r="O372">
        <v>2</v>
      </c>
      <c r="P372" t="s">
        <v>24</v>
      </c>
      <c r="Q372">
        <v>69</v>
      </c>
      <c r="R372" s="2">
        <v>112805</v>
      </c>
    </row>
    <row r="373" spans="1:18" x14ac:dyDescent="0.35">
      <c r="A373" t="s">
        <v>28</v>
      </c>
      <c r="B373" t="s">
        <v>29</v>
      </c>
      <c r="C373" t="s">
        <v>20</v>
      </c>
      <c r="D373" t="s">
        <v>37</v>
      </c>
      <c r="E373" t="s">
        <v>46</v>
      </c>
      <c r="F373" t="s">
        <v>23</v>
      </c>
      <c r="G373" s="1">
        <v>45303</v>
      </c>
      <c r="H373">
        <v>128</v>
      </c>
      <c r="I373">
        <v>24</v>
      </c>
      <c r="J373">
        <v>59</v>
      </c>
      <c r="K373">
        <v>163</v>
      </c>
      <c r="L373">
        <v>65</v>
      </c>
      <c r="M373">
        <v>493</v>
      </c>
      <c r="N373">
        <v>5</v>
      </c>
      <c r="O373">
        <v>3</v>
      </c>
      <c r="P373" t="s">
        <v>24</v>
      </c>
      <c r="Q373">
        <v>30</v>
      </c>
      <c r="R373" s="2">
        <v>80359</v>
      </c>
    </row>
    <row r="374" spans="1:18" x14ac:dyDescent="0.35">
      <c r="A374" t="s">
        <v>34</v>
      </c>
      <c r="B374" t="s">
        <v>35</v>
      </c>
      <c r="C374" t="s">
        <v>20</v>
      </c>
      <c r="D374" t="s">
        <v>39</v>
      </c>
      <c r="E374" t="s">
        <v>40</v>
      </c>
      <c r="F374" t="s">
        <v>23</v>
      </c>
      <c r="G374" s="1">
        <v>45304</v>
      </c>
      <c r="H374">
        <v>152</v>
      </c>
      <c r="I374">
        <v>60</v>
      </c>
      <c r="J374">
        <v>72</v>
      </c>
      <c r="K374">
        <v>164</v>
      </c>
      <c r="L374">
        <v>58</v>
      </c>
      <c r="M374">
        <v>776</v>
      </c>
      <c r="N374">
        <v>2</v>
      </c>
      <c r="O374">
        <v>4</v>
      </c>
      <c r="P374" t="s">
        <v>24</v>
      </c>
      <c r="Q374">
        <v>68</v>
      </c>
      <c r="R374" s="2">
        <v>127264</v>
      </c>
    </row>
    <row r="375" spans="1:18" x14ac:dyDescent="0.35">
      <c r="A375" t="s">
        <v>25</v>
      </c>
      <c r="B375" t="s">
        <v>26</v>
      </c>
      <c r="C375" t="s">
        <v>20</v>
      </c>
      <c r="D375" t="s">
        <v>21</v>
      </c>
      <c r="E375" t="s">
        <v>27</v>
      </c>
      <c r="F375" t="s">
        <v>23</v>
      </c>
      <c r="G375" s="1">
        <v>45305</v>
      </c>
      <c r="H375">
        <v>84</v>
      </c>
      <c r="I375">
        <v>49</v>
      </c>
      <c r="J375">
        <v>44</v>
      </c>
      <c r="K375">
        <v>79</v>
      </c>
      <c r="L375">
        <v>51</v>
      </c>
      <c r="M375">
        <v>149</v>
      </c>
      <c r="N375">
        <v>8</v>
      </c>
      <c r="O375">
        <v>0</v>
      </c>
      <c r="P375" t="s">
        <v>24</v>
      </c>
      <c r="Q375">
        <v>43</v>
      </c>
      <c r="R375" s="2">
        <v>11771</v>
      </c>
    </row>
    <row r="376" spans="1:18" x14ac:dyDescent="0.35">
      <c r="A376" t="s">
        <v>34</v>
      </c>
      <c r="B376" t="s">
        <v>35</v>
      </c>
      <c r="C376" t="s">
        <v>20</v>
      </c>
      <c r="D376" t="s">
        <v>39</v>
      </c>
      <c r="E376" t="s">
        <v>45</v>
      </c>
      <c r="F376" t="s">
        <v>23</v>
      </c>
      <c r="G376" s="1">
        <v>45306</v>
      </c>
      <c r="H376">
        <v>265</v>
      </c>
      <c r="I376">
        <v>57</v>
      </c>
      <c r="J376">
        <v>5</v>
      </c>
      <c r="K376">
        <v>213</v>
      </c>
      <c r="L376">
        <v>41</v>
      </c>
      <c r="M376">
        <v>421</v>
      </c>
      <c r="N376">
        <v>11</v>
      </c>
      <c r="O376">
        <v>6</v>
      </c>
      <c r="P376" t="s">
        <v>24</v>
      </c>
      <c r="Q376">
        <v>26</v>
      </c>
      <c r="R376" s="2">
        <v>89673</v>
      </c>
    </row>
    <row r="377" spans="1:18" x14ac:dyDescent="0.35">
      <c r="A377" t="s">
        <v>41</v>
      </c>
      <c r="B377" t="s">
        <v>42</v>
      </c>
      <c r="C377" t="s">
        <v>20</v>
      </c>
      <c r="D377" t="s">
        <v>37</v>
      </c>
      <c r="E377" t="s">
        <v>38</v>
      </c>
      <c r="F377" t="s">
        <v>23</v>
      </c>
      <c r="G377" s="1">
        <v>45307</v>
      </c>
      <c r="H377">
        <v>114</v>
      </c>
      <c r="I377">
        <v>16</v>
      </c>
      <c r="J377">
        <v>3</v>
      </c>
      <c r="K377">
        <v>101</v>
      </c>
      <c r="L377">
        <v>47</v>
      </c>
      <c r="M377">
        <v>98</v>
      </c>
      <c r="N377">
        <v>4</v>
      </c>
      <c r="O377">
        <v>3</v>
      </c>
      <c r="P377" t="s">
        <v>24</v>
      </c>
      <c r="Q377">
        <v>67</v>
      </c>
      <c r="R377" s="2">
        <v>9898</v>
      </c>
    </row>
    <row r="378" spans="1:18" x14ac:dyDescent="0.35">
      <c r="A378" t="s">
        <v>34</v>
      </c>
      <c r="B378" t="s">
        <v>35</v>
      </c>
      <c r="C378" t="s">
        <v>20</v>
      </c>
      <c r="D378" t="s">
        <v>39</v>
      </c>
      <c r="E378" t="s">
        <v>45</v>
      </c>
      <c r="F378" t="s">
        <v>30</v>
      </c>
      <c r="G378" s="1">
        <v>45308</v>
      </c>
      <c r="H378">
        <v>193</v>
      </c>
      <c r="I378">
        <v>20</v>
      </c>
      <c r="J378">
        <v>73</v>
      </c>
      <c r="K378">
        <v>246</v>
      </c>
      <c r="L378">
        <v>72</v>
      </c>
      <c r="M378">
        <v>851</v>
      </c>
      <c r="N378">
        <v>8</v>
      </c>
      <c r="O378">
        <v>8</v>
      </c>
      <c r="P378" t="s">
        <v>24</v>
      </c>
      <c r="Q378">
        <v>32</v>
      </c>
      <c r="R378" s="2">
        <v>209346</v>
      </c>
    </row>
    <row r="379" spans="1:18" x14ac:dyDescent="0.35">
      <c r="A379" t="s">
        <v>25</v>
      </c>
      <c r="B379" t="s">
        <v>26</v>
      </c>
      <c r="C379" t="s">
        <v>20</v>
      </c>
      <c r="D379" t="s">
        <v>37</v>
      </c>
      <c r="E379" t="s">
        <v>46</v>
      </c>
      <c r="F379" t="s">
        <v>30</v>
      </c>
      <c r="G379" s="1">
        <v>45309</v>
      </c>
      <c r="H379">
        <v>152</v>
      </c>
      <c r="I379">
        <v>25</v>
      </c>
      <c r="J379">
        <v>61</v>
      </c>
      <c r="K379">
        <v>188</v>
      </c>
      <c r="L379">
        <v>84</v>
      </c>
      <c r="M379">
        <v>638</v>
      </c>
      <c r="N379">
        <v>15</v>
      </c>
      <c r="O379">
        <v>8</v>
      </c>
      <c r="P379" t="s">
        <v>24</v>
      </c>
      <c r="Q379">
        <v>53</v>
      </c>
      <c r="R379" s="2">
        <v>119944</v>
      </c>
    </row>
    <row r="380" spans="1:18" x14ac:dyDescent="0.35">
      <c r="A380" t="s">
        <v>41</v>
      </c>
      <c r="B380" t="s">
        <v>42</v>
      </c>
      <c r="C380" t="s">
        <v>20</v>
      </c>
      <c r="D380" t="s">
        <v>37</v>
      </c>
      <c r="E380" t="s">
        <v>38</v>
      </c>
      <c r="F380" t="s">
        <v>30</v>
      </c>
      <c r="G380" s="1">
        <v>45310</v>
      </c>
      <c r="H380">
        <v>90</v>
      </c>
      <c r="I380">
        <v>35</v>
      </c>
      <c r="J380">
        <v>16</v>
      </c>
      <c r="K380">
        <v>71</v>
      </c>
      <c r="L380">
        <v>90</v>
      </c>
      <c r="M380">
        <v>101</v>
      </c>
      <c r="N380">
        <v>11</v>
      </c>
      <c r="O380">
        <v>7</v>
      </c>
      <c r="P380" t="s">
        <v>36</v>
      </c>
      <c r="Q380">
        <v>43</v>
      </c>
      <c r="R380" s="2">
        <v>7171</v>
      </c>
    </row>
    <row r="381" spans="1:18" x14ac:dyDescent="0.35">
      <c r="A381" t="s">
        <v>18</v>
      </c>
      <c r="B381" t="s">
        <v>19</v>
      </c>
      <c r="C381" t="s">
        <v>20</v>
      </c>
      <c r="D381" t="s">
        <v>37</v>
      </c>
      <c r="E381" t="s">
        <v>46</v>
      </c>
      <c r="F381" t="s">
        <v>30</v>
      </c>
      <c r="G381" s="1">
        <v>45311</v>
      </c>
      <c r="H381">
        <v>275</v>
      </c>
      <c r="I381">
        <v>52</v>
      </c>
      <c r="J381">
        <v>75</v>
      </c>
      <c r="K381">
        <v>298</v>
      </c>
      <c r="L381">
        <v>74</v>
      </c>
      <c r="M381">
        <v>311</v>
      </c>
      <c r="N381">
        <v>12</v>
      </c>
      <c r="O381">
        <v>5</v>
      </c>
      <c r="P381" t="s">
        <v>24</v>
      </c>
      <c r="Q381">
        <v>14</v>
      </c>
      <c r="R381" s="2">
        <v>92678</v>
      </c>
    </row>
    <row r="382" spans="1:18" x14ac:dyDescent="0.35">
      <c r="A382" t="s">
        <v>25</v>
      </c>
      <c r="B382" t="s">
        <v>26</v>
      </c>
      <c r="C382" t="s">
        <v>20</v>
      </c>
      <c r="D382" t="s">
        <v>21</v>
      </c>
      <c r="E382" t="s">
        <v>22</v>
      </c>
      <c r="F382" t="s">
        <v>33</v>
      </c>
      <c r="G382" s="1">
        <v>45312</v>
      </c>
      <c r="H382">
        <v>219</v>
      </c>
      <c r="I382">
        <v>42</v>
      </c>
      <c r="J382">
        <v>39</v>
      </c>
      <c r="K382">
        <v>216</v>
      </c>
      <c r="L382">
        <v>47</v>
      </c>
      <c r="M382">
        <v>137</v>
      </c>
      <c r="N382">
        <v>11</v>
      </c>
      <c r="O382">
        <v>4</v>
      </c>
      <c r="P382" t="s">
        <v>24</v>
      </c>
      <c r="Q382">
        <v>70</v>
      </c>
      <c r="R382" s="2">
        <v>29592</v>
      </c>
    </row>
    <row r="383" spans="1:18" x14ac:dyDescent="0.35">
      <c r="A383" t="s">
        <v>34</v>
      </c>
      <c r="B383" t="s">
        <v>35</v>
      </c>
      <c r="C383" t="s">
        <v>20</v>
      </c>
      <c r="D383" t="s">
        <v>37</v>
      </c>
      <c r="E383" t="s">
        <v>46</v>
      </c>
      <c r="F383" t="s">
        <v>33</v>
      </c>
      <c r="G383" s="1">
        <v>45313</v>
      </c>
      <c r="H383">
        <v>263</v>
      </c>
      <c r="I383">
        <v>5</v>
      </c>
      <c r="J383">
        <v>64</v>
      </c>
      <c r="K383">
        <v>322</v>
      </c>
      <c r="L383">
        <v>50</v>
      </c>
      <c r="M383">
        <v>995</v>
      </c>
      <c r="N383">
        <v>14</v>
      </c>
      <c r="O383">
        <v>9</v>
      </c>
      <c r="P383" t="s">
        <v>24</v>
      </c>
      <c r="Q383">
        <v>27</v>
      </c>
      <c r="R383" s="2">
        <v>320390</v>
      </c>
    </row>
    <row r="384" spans="1:18" x14ac:dyDescent="0.35">
      <c r="A384" t="s">
        <v>18</v>
      </c>
      <c r="B384" t="s">
        <v>19</v>
      </c>
      <c r="C384" t="s">
        <v>20</v>
      </c>
      <c r="D384" t="s">
        <v>37</v>
      </c>
      <c r="E384" t="s">
        <v>38</v>
      </c>
      <c r="F384" t="s">
        <v>30</v>
      </c>
      <c r="G384" s="1">
        <v>45314</v>
      </c>
      <c r="H384">
        <v>97</v>
      </c>
      <c r="I384">
        <v>32</v>
      </c>
      <c r="J384">
        <v>35</v>
      </c>
      <c r="K384">
        <v>100</v>
      </c>
      <c r="L384">
        <v>54</v>
      </c>
      <c r="M384">
        <v>381</v>
      </c>
      <c r="N384">
        <v>12</v>
      </c>
      <c r="O384">
        <v>6</v>
      </c>
      <c r="P384" t="s">
        <v>24</v>
      </c>
      <c r="Q384">
        <v>51</v>
      </c>
      <c r="R384" s="2">
        <v>38100</v>
      </c>
    </row>
    <row r="385" spans="1:18" x14ac:dyDescent="0.35">
      <c r="A385" t="s">
        <v>28</v>
      </c>
      <c r="B385" t="s">
        <v>29</v>
      </c>
      <c r="C385" t="s">
        <v>20</v>
      </c>
      <c r="D385" t="s">
        <v>37</v>
      </c>
      <c r="E385" t="s">
        <v>46</v>
      </c>
      <c r="F385" t="s">
        <v>33</v>
      </c>
      <c r="G385" s="1">
        <v>45315</v>
      </c>
      <c r="H385">
        <v>241</v>
      </c>
      <c r="I385">
        <v>58</v>
      </c>
      <c r="J385">
        <v>61</v>
      </c>
      <c r="K385">
        <v>244</v>
      </c>
      <c r="L385">
        <v>76</v>
      </c>
      <c r="M385">
        <v>390</v>
      </c>
      <c r="N385">
        <v>9</v>
      </c>
      <c r="O385">
        <v>10</v>
      </c>
      <c r="P385" t="s">
        <v>24</v>
      </c>
      <c r="Q385">
        <v>15</v>
      </c>
      <c r="R385" s="2">
        <v>95160</v>
      </c>
    </row>
    <row r="386" spans="1:18" x14ac:dyDescent="0.35">
      <c r="A386" t="s">
        <v>25</v>
      </c>
      <c r="B386" t="s">
        <v>26</v>
      </c>
      <c r="C386" t="s">
        <v>20</v>
      </c>
      <c r="D386" t="s">
        <v>43</v>
      </c>
      <c r="E386" t="s">
        <v>48</v>
      </c>
      <c r="F386" t="s">
        <v>23</v>
      </c>
      <c r="G386" s="1">
        <v>45316</v>
      </c>
      <c r="H386">
        <v>158</v>
      </c>
      <c r="I386">
        <v>39</v>
      </c>
      <c r="J386">
        <v>29</v>
      </c>
      <c r="K386">
        <v>148</v>
      </c>
      <c r="L386">
        <v>67</v>
      </c>
      <c r="M386">
        <v>1268</v>
      </c>
      <c r="N386">
        <v>6</v>
      </c>
      <c r="O386">
        <v>0</v>
      </c>
      <c r="P386" t="s">
        <v>24</v>
      </c>
      <c r="Q386">
        <v>68</v>
      </c>
      <c r="R386" s="2">
        <v>187664</v>
      </c>
    </row>
    <row r="387" spans="1:18" x14ac:dyDescent="0.35">
      <c r="A387" t="s">
        <v>28</v>
      </c>
      <c r="B387" t="s">
        <v>29</v>
      </c>
      <c r="C387" t="s">
        <v>20</v>
      </c>
      <c r="D387" t="s">
        <v>39</v>
      </c>
      <c r="E387" t="s">
        <v>40</v>
      </c>
      <c r="F387" t="s">
        <v>33</v>
      </c>
      <c r="G387" s="1">
        <v>45317</v>
      </c>
      <c r="H387">
        <v>56</v>
      </c>
      <c r="I387">
        <v>35</v>
      </c>
      <c r="J387">
        <v>30</v>
      </c>
      <c r="K387">
        <v>51</v>
      </c>
      <c r="L387">
        <v>80</v>
      </c>
      <c r="M387">
        <v>1038</v>
      </c>
      <c r="N387">
        <v>14</v>
      </c>
      <c r="O387">
        <v>2</v>
      </c>
      <c r="P387" t="s">
        <v>36</v>
      </c>
      <c r="Q387">
        <v>34</v>
      </c>
      <c r="R387" s="2">
        <v>52938</v>
      </c>
    </row>
    <row r="388" spans="1:18" x14ac:dyDescent="0.35">
      <c r="A388" t="s">
        <v>18</v>
      </c>
      <c r="B388" t="s">
        <v>19</v>
      </c>
      <c r="C388" t="s">
        <v>20</v>
      </c>
      <c r="D388" t="s">
        <v>21</v>
      </c>
      <c r="E388" t="s">
        <v>22</v>
      </c>
      <c r="F388" t="s">
        <v>30</v>
      </c>
      <c r="G388" s="1">
        <v>45318</v>
      </c>
      <c r="H388">
        <v>293</v>
      </c>
      <c r="I388">
        <v>55</v>
      </c>
      <c r="J388">
        <v>37</v>
      </c>
      <c r="K388">
        <v>275</v>
      </c>
      <c r="L388">
        <v>83</v>
      </c>
      <c r="M388">
        <v>379</v>
      </c>
      <c r="N388">
        <v>5</v>
      </c>
      <c r="O388">
        <v>4</v>
      </c>
      <c r="P388" t="s">
        <v>24</v>
      </c>
      <c r="Q388">
        <v>58</v>
      </c>
      <c r="R388" s="2">
        <v>104225</v>
      </c>
    </row>
    <row r="389" spans="1:18" x14ac:dyDescent="0.35">
      <c r="A389" t="s">
        <v>41</v>
      </c>
      <c r="B389" t="s">
        <v>42</v>
      </c>
      <c r="C389" t="s">
        <v>20</v>
      </c>
      <c r="D389" t="s">
        <v>37</v>
      </c>
      <c r="E389" t="s">
        <v>46</v>
      </c>
      <c r="F389" t="s">
        <v>23</v>
      </c>
      <c r="G389" s="1">
        <v>45319</v>
      </c>
      <c r="H389">
        <v>53</v>
      </c>
      <c r="I389">
        <v>21</v>
      </c>
      <c r="J389">
        <v>43</v>
      </c>
      <c r="K389">
        <v>75</v>
      </c>
      <c r="L389">
        <v>54</v>
      </c>
      <c r="M389">
        <v>448</v>
      </c>
      <c r="N389">
        <v>14</v>
      </c>
      <c r="O389">
        <v>9</v>
      </c>
      <c r="P389" t="s">
        <v>24</v>
      </c>
      <c r="Q389">
        <v>41</v>
      </c>
      <c r="R389" s="2">
        <v>33600</v>
      </c>
    </row>
    <row r="390" spans="1:18" x14ac:dyDescent="0.35">
      <c r="A390" t="s">
        <v>25</v>
      </c>
      <c r="B390" t="s">
        <v>26</v>
      </c>
      <c r="C390" t="s">
        <v>20</v>
      </c>
      <c r="D390" t="s">
        <v>37</v>
      </c>
      <c r="E390" t="s">
        <v>46</v>
      </c>
      <c r="F390" t="s">
        <v>23</v>
      </c>
      <c r="G390" s="1">
        <v>45320</v>
      </c>
      <c r="H390">
        <v>136</v>
      </c>
      <c r="I390">
        <v>23</v>
      </c>
      <c r="J390">
        <v>14</v>
      </c>
      <c r="K390">
        <v>127</v>
      </c>
      <c r="L390">
        <v>86</v>
      </c>
      <c r="M390">
        <v>1006</v>
      </c>
      <c r="N390">
        <v>15</v>
      </c>
      <c r="O390">
        <v>5</v>
      </c>
      <c r="P390" t="s">
        <v>24</v>
      </c>
      <c r="Q390">
        <v>51</v>
      </c>
      <c r="R390" s="2">
        <v>127762</v>
      </c>
    </row>
    <row r="391" spans="1:18" x14ac:dyDescent="0.35">
      <c r="A391" t="s">
        <v>28</v>
      </c>
      <c r="B391" t="s">
        <v>29</v>
      </c>
      <c r="C391" t="s">
        <v>20</v>
      </c>
      <c r="D391" t="s">
        <v>31</v>
      </c>
      <c r="E391" t="s">
        <v>47</v>
      </c>
      <c r="F391" t="s">
        <v>23</v>
      </c>
      <c r="G391" s="1">
        <v>45321</v>
      </c>
      <c r="H391">
        <v>58</v>
      </c>
      <c r="I391">
        <v>28</v>
      </c>
      <c r="J391">
        <v>49</v>
      </c>
      <c r="K391">
        <v>79</v>
      </c>
      <c r="L391">
        <v>73</v>
      </c>
      <c r="M391">
        <v>1032</v>
      </c>
      <c r="N391">
        <v>7</v>
      </c>
      <c r="O391">
        <v>8</v>
      </c>
      <c r="P391" t="s">
        <v>24</v>
      </c>
      <c r="Q391">
        <v>66</v>
      </c>
      <c r="R391" s="2">
        <v>81528</v>
      </c>
    </row>
    <row r="392" spans="1:18" x14ac:dyDescent="0.35">
      <c r="A392" t="s">
        <v>34</v>
      </c>
      <c r="B392" t="s">
        <v>35</v>
      </c>
      <c r="C392" t="s">
        <v>20</v>
      </c>
      <c r="D392" t="s">
        <v>31</v>
      </c>
      <c r="E392" t="s">
        <v>47</v>
      </c>
      <c r="F392" t="s">
        <v>30</v>
      </c>
      <c r="G392" s="1">
        <v>45322</v>
      </c>
      <c r="H392">
        <v>55</v>
      </c>
      <c r="I392">
        <v>41</v>
      </c>
      <c r="J392">
        <v>20</v>
      </c>
      <c r="K392">
        <v>34</v>
      </c>
      <c r="L392">
        <v>96</v>
      </c>
      <c r="M392">
        <v>711</v>
      </c>
      <c r="N392">
        <v>13</v>
      </c>
      <c r="O392">
        <v>5</v>
      </c>
      <c r="P392" t="s">
        <v>36</v>
      </c>
      <c r="Q392">
        <v>68</v>
      </c>
      <c r="R392" s="2">
        <v>24174</v>
      </c>
    </row>
    <row r="393" spans="1:18" x14ac:dyDescent="0.35">
      <c r="A393" t="s">
        <v>28</v>
      </c>
      <c r="B393" t="s">
        <v>29</v>
      </c>
      <c r="C393" t="s">
        <v>20</v>
      </c>
      <c r="D393" t="s">
        <v>39</v>
      </c>
      <c r="E393" t="s">
        <v>40</v>
      </c>
      <c r="F393" t="s">
        <v>23</v>
      </c>
      <c r="G393" s="1">
        <v>45323</v>
      </c>
      <c r="H393">
        <v>72</v>
      </c>
      <c r="I393">
        <v>35</v>
      </c>
      <c r="J393">
        <v>43</v>
      </c>
      <c r="K393">
        <v>80</v>
      </c>
      <c r="L393">
        <v>60</v>
      </c>
      <c r="M393">
        <v>69</v>
      </c>
      <c r="N393">
        <v>3</v>
      </c>
      <c r="O393">
        <v>7</v>
      </c>
      <c r="P393" t="s">
        <v>24</v>
      </c>
      <c r="Q393">
        <v>46</v>
      </c>
      <c r="R393" s="2">
        <v>5520</v>
      </c>
    </row>
    <row r="394" spans="1:18" x14ac:dyDescent="0.35">
      <c r="A394" t="s">
        <v>28</v>
      </c>
      <c r="B394" t="s">
        <v>29</v>
      </c>
      <c r="C394" t="s">
        <v>20</v>
      </c>
      <c r="D394" t="s">
        <v>39</v>
      </c>
      <c r="E394" t="s">
        <v>40</v>
      </c>
      <c r="F394" t="s">
        <v>30</v>
      </c>
      <c r="G394" s="1">
        <v>45324</v>
      </c>
      <c r="H394">
        <v>103</v>
      </c>
      <c r="I394">
        <v>36</v>
      </c>
      <c r="J394">
        <v>25</v>
      </c>
      <c r="K394">
        <v>92</v>
      </c>
      <c r="L394">
        <v>59</v>
      </c>
      <c r="M394">
        <v>431</v>
      </c>
      <c r="N394">
        <v>8</v>
      </c>
      <c r="O394">
        <v>10</v>
      </c>
      <c r="P394" t="s">
        <v>24</v>
      </c>
      <c r="Q394">
        <v>16</v>
      </c>
      <c r="R394" s="2">
        <v>39652</v>
      </c>
    </row>
    <row r="395" spans="1:18" x14ac:dyDescent="0.35">
      <c r="A395" t="s">
        <v>34</v>
      </c>
      <c r="B395" t="s">
        <v>35</v>
      </c>
      <c r="C395" t="s">
        <v>20</v>
      </c>
      <c r="D395" t="s">
        <v>37</v>
      </c>
      <c r="E395" t="s">
        <v>46</v>
      </c>
      <c r="F395" t="s">
        <v>33</v>
      </c>
      <c r="G395" s="1">
        <v>45325</v>
      </c>
      <c r="H395">
        <v>71</v>
      </c>
      <c r="I395">
        <v>32</v>
      </c>
      <c r="J395">
        <v>66</v>
      </c>
      <c r="K395">
        <v>105</v>
      </c>
      <c r="L395">
        <v>78</v>
      </c>
      <c r="M395">
        <v>403</v>
      </c>
      <c r="N395">
        <v>12</v>
      </c>
      <c r="O395">
        <v>7</v>
      </c>
      <c r="P395" t="s">
        <v>24</v>
      </c>
      <c r="Q395">
        <v>37</v>
      </c>
      <c r="R395" s="2">
        <v>42315</v>
      </c>
    </row>
    <row r="396" spans="1:18" x14ac:dyDescent="0.35">
      <c r="A396" t="s">
        <v>41</v>
      </c>
      <c r="B396" t="s">
        <v>42</v>
      </c>
      <c r="C396" t="s">
        <v>20</v>
      </c>
      <c r="D396" t="s">
        <v>37</v>
      </c>
      <c r="E396" t="s">
        <v>38</v>
      </c>
      <c r="F396" t="s">
        <v>33</v>
      </c>
      <c r="G396" s="1">
        <v>45326</v>
      </c>
      <c r="H396">
        <v>184</v>
      </c>
      <c r="I396">
        <v>53</v>
      </c>
      <c r="J396">
        <v>61</v>
      </c>
      <c r="K396">
        <v>192</v>
      </c>
      <c r="L396">
        <v>89</v>
      </c>
      <c r="M396">
        <v>639</v>
      </c>
      <c r="N396">
        <v>15</v>
      </c>
      <c r="O396">
        <v>9</v>
      </c>
      <c r="P396" t="s">
        <v>24</v>
      </c>
      <c r="Q396">
        <v>28</v>
      </c>
      <c r="R396" s="2">
        <v>122688</v>
      </c>
    </row>
    <row r="397" spans="1:18" x14ac:dyDescent="0.35">
      <c r="A397" t="s">
        <v>41</v>
      </c>
      <c r="B397" t="s">
        <v>42</v>
      </c>
      <c r="C397" t="s">
        <v>20</v>
      </c>
      <c r="D397" t="s">
        <v>43</v>
      </c>
      <c r="E397" t="s">
        <v>44</v>
      </c>
      <c r="F397" t="s">
        <v>30</v>
      </c>
      <c r="G397" s="1">
        <v>45327</v>
      </c>
      <c r="H397">
        <v>63</v>
      </c>
      <c r="I397">
        <v>32</v>
      </c>
      <c r="J397">
        <v>50</v>
      </c>
      <c r="K397">
        <v>81</v>
      </c>
      <c r="L397">
        <v>48</v>
      </c>
      <c r="M397">
        <v>743</v>
      </c>
      <c r="N397">
        <v>14</v>
      </c>
      <c r="O397">
        <v>4</v>
      </c>
      <c r="P397" t="s">
        <v>24</v>
      </c>
      <c r="Q397">
        <v>44</v>
      </c>
      <c r="R397" s="2">
        <v>60183</v>
      </c>
    </row>
    <row r="398" spans="1:18" x14ac:dyDescent="0.35">
      <c r="A398" t="s">
        <v>28</v>
      </c>
      <c r="B398" t="s">
        <v>29</v>
      </c>
      <c r="C398" t="s">
        <v>20</v>
      </c>
      <c r="D398" t="s">
        <v>39</v>
      </c>
      <c r="E398" t="s">
        <v>40</v>
      </c>
      <c r="F398" t="s">
        <v>33</v>
      </c>
      <c r="G398" s="1">
        <v>45328</v>
      </c>
      <c r="H398">
        <v>141</v>
      </c>
      <c r="I398">
        <v>16</v>
      </c>
      <c r="J398">
        <v>8</v>
      </c>
      <c r="K398">
        <v>133</v>
      </c>
      <c r="L398">
        <v>80</v>
      </c>
      <c r="M398">
        <v>878</v>
      </c>
      <c r="N398">
        <v>7</v>
      </c>
      <c r="O398">
        <v>2</v>
      </c>
      <c r="P398" t="s">
        <v>24</v>
      </c>
      <c r="Q398">
        <v>61</v>
      </c>
      <c r="R398" s="2">
        <v>116774</v>
      </c>
    </row>
    <row r="399" spans="1:18" x14ac:dyDescent="0.35">
      <c r="A399" t="s">
        <v>41</v>
      </c>
      <c r="B399" t="s">
        <v>42</v>
      </c>
      <c r="C399" t="s">
        <v>20</v>
      </c>
      <c r="D399" t="s">
        <v>39</v>
      </c>
      <c r="E399" t="s">
        <v>45</v>
      </c>
      <c r="F399" t="s">
        <v>23</v>
      </c>
      <c r="G399" s="1">
        <v>45329</v>
      </c>
      <c r="H399">
        <v>249</v>
      </c>
      <c r="I399">
        <v>37</v>
      </c>
      <c r="J399">
        <v>47</v>
      </c>
      <c r="K399">
        <v>259</v>
      </c>
      <c r="L399">
        <v>100</v>
      </c>
      <c r="M399">
        <v>263</v>
      </c>
      <c r="N399">
        <v>7</v>
      </c>
      <c r="O399">
        <v>4</v>
      </c>
      <c r="P399" t="s">
        <v>24</v>
      </c>
      <c r="Q399">
        <v>37</v>
      </c>
      <c r="R399" s="2">
        <v>68117</v>
      </c>
    </row>
    <row r="400" spans="1:18" x14ac:dyDescent="0.35">
      <c r="A400" t="s">
        <v>34</v>
      </c>
      <c r="B400" t="s">
        <v>35</v>
      </c>
      <c r="C400" t="s">
        <v>20</v>
      </c>
      <c r="D400" t="s">
        <v>21</v>
      </c>
      <c r="E400" t="s">
        <v>27</v>
      </c>
      <c r="F400" t="s">
        <v>33</v>
      </c>
      <c r="G400" s="1">
        <v>45330</v>
      </c>
      <c r="H400">
        <v>54</v>
      </c>
      <c r="I400">
        <v>30</v>
      </c>
      <c r="J400">
        <v>57</v>
      </c>
      <c r="K400">
        <v>81</v>
      </c>
      <c r="L400">
        <v>95</v>
      </c>
      <c r="M400">
        <v>569</v>
      </c>
      <c r="N400">
        <v>3</v>
      </c>
      <c r="O400">
        <v>9</v>
      </c>
      <c r="P400" t="s">
        <v>36</v>
      </c>
      <c r="Q400">
        <v>45</v>
      </c>
      <c r="R400" s="2">
        <v>46089</v>
      </c>
    </row>
    <row r="401" spans="1:18" x14ac:dyDescent="0.35">
      <c r="A401" t="s">
        <v>18</v>
      </c>
      <c r="B401" t="s">
        <v>19</v>
      </c>
      <c r="C401" t="s">
        <v>20</v>
      </c>
      <c r="D401" t="s">
        <v>21</v>
      </c>
      <c r="E401" t="s">
        <v>27</v>
      </c>
      <c r="F401" t="s">
        <v>30</v>
      </c>
      <c r="G401" s="1">
        <v>45331</v>
      </c>
      <c r="H401">
        <v>62</v>
      </c>
      <c r="I401">
        <v>56</v>
      </c>
      <c r="J401">
        <v>6</v>
      </c>
      <c r="K401">
        <v>12</v>
      </c>
      <c r="L401">
        <v>67</v>
      </c>
      <c r="M401">
        <v>886</v>
      </c>
      <c r="N401">
        <v>6</v>
      </c>
      <c r="O401">
        <v>3</v>
      </c>
      <c r="P401" t="s">
        <v>36</v>
      </c>
      <c r="Q401">
        <v>35</v>
      </c>
      <c r="R401" s="2">
        <v>10632</v>
      </c>
    </row>
    <row r="402" spans="1:18" x14ac:dyDescent="0.35">
      <c r="A402" t="s">
        <v>41</v>
      </c>
      <c r="B402" t="s">
        <v>42</v>
      </c>
      <c r="C402" t="s">
        <v>20</v>
      </c>
      <c r="D402" t="s">
        <v>37</v>
      </c>
      <c r="E402" t="s">
        <v>38</v>
      </c>
      <c r="F402" t="s">
        <v>33</v>
      </c>
      <c r="G402" s="1">
        <v>45332</v>
      </c>
      <c r="H402">
        <v>163</v>
      </c>
      <c r="I402">
        <v>43</v>
      </c>
      <c r="J402">
        <v>58</v>
      </c>
      <c r="K402">
        <v>178</v>
      </c>
      <c r="L402">
        <v>72</v>
      </c>
      <c r="M402">
        <v>593</v>
      </c>
      <c r="N402">
        <v>10</v>
      </c>
      <c r="O402">
        <v>9</v>
      </c>
      <c r="P402" t="s">
        <v>24</v>
      </c>
      <c r="Q402">
        <v>21</v>
      </c>
      <c r="R402" s="2">
        <v>105554</v>
      </c>
    </row>
    <row r="403" spans="1:18" x14ac:dyDescent="0.35">
      <c r="A403" t="s">
        <v>41</v>
      </c>
      <c r="B403" t="s">
        <v>42</v>
      </c>
      <c r="C403" t="s">
        <v>20</v>
      </c>
      <c r="D403" t="s">
        <v>37</v>
      </c>
      <c r="E403" t="s">
        <v>46</v>
      </c>
      <c r="F403" t="s">
        <v>33</v>
      </c>
      <c r="G403" s="1">
        <v>45333</v>
      </c>
      <c r="H403">
        <v>179</v>
      </c>
      <c r="I403">
        <v>56</v>
      </c>
      <c r="J403">
        <v>6</v>
      </c>
      <c r="K403">
        <v>129</v>
      </c>
      <c r="L403">
        <v>58</v>
      </c>
      <c r="M403">
        <v>1297</v>
      </c>
      <c r="N403">
        <v>10</v>
      </c>
      <c r="O403">
        <v>9</v>
      </c>
      <c r="P403" t="s">
        <v>24</v>
      </c>
      <c r="Q403">
        <v>39</v>
      </c>
      <c r="R403" s="2">
        <v>167313</v>
      </c>
    </row>
    <row r="404" spans="1:18" x14ac:dyDescent="0.35">
      <c r="A404" t="s">
        <v>28</v>
      </c>
      <c r="B404" t="s">
        <v>29</v>
      </c>
      <c r="C404" t="s">
        <v>20</v>
      </c>
      <c r="D404" t="s">
        <v>21</v>
      </c>
      <c r="E404" t="s">
        <v>27</v>
      </c>
      <c r="F404" t="s">
        <v>33</v>
      </c>
      <c r="G404" s="1">
        <v>45334</v>
      </c>
      <c r="H404">
        <v>291</v>
      </c>
      <c r="I404">
        <v>13</v>
      </c>
      <c r="J404">
        <v>14</v>
      </c>
      <c r="K404">
        <v>292</v>
      </c>
      <c r="L404">
        <v>76</v>
      </c>
      <c r="M404">
        <v>88</v>
      </c>
      <c r="N404">
        <v>6</v>
      </c>
      <c r="O404">
        <v>10</v>
      </c>
      <c r="P404" t="s">
        <v>24</v>
      </c>
      <c r="Q404">
        <v>48</v>
      </c>
      <c r="R404" s="2">
        <v>25696</v>
      </c>
    </row>
    <row r="405" spans="1:18" x14ac:dyDescent="0.35">
      <c r="A405" t="s">
        <v>41</v>
      </c>
      <c r="B405" t="s">
        <v>42</v>
      </c>
      <c r="C405" t="s">
        <v>20</v>
      </c>
      <c r="D405" t="s">
        <v>39</v>
      </c>
      <c r="E405" t="s">
        <v>40</v>
      </c>
      <c r="F405" t="s">
        <v>33</v>
      </c>
      <c r="G405" s="1">
        <v>45335</v>
      </c>
      <c r="H405">
        <v>179</v>
      </c>
      <c r="I405">
        <v>47</v>
      </c>
      <c r="J405">
        <v>28</v>
      </c>
      <c r="K405">
        <v>160</v>
      </c>
      <c r="L405">
        <v>46</v>
      </c>
      <c r="M405">
        <v>1208</v>
      </c>
      <c r="N405">
        <v>12</v>
      </c>
      <c r="O405">
        <v>4</v>
      </c>
      <c r="P405" t="s">
        <v>24</v>
      </c>
      <c r="Q405">
        <v>36</v>
      </c>
      <c r="R405" s="2">
        <v>193280</v>
      </c>
    </row>
    <row r="406" spans="1:18" x14ac:dyDescent="0.35">
      <c r="A406" t="s">
        <v>18</v>
      </c>
      <c r="B406" t="s">
        <v>19</v>
      </c>
      <c r="C406" t="s">
        <v>20</v>
      </c>
      <c r="D406" t="s">
        <v>21</v>
      </c>
      <c r="E406" t="s">
        <v>22</v>
      </c>
      <c r="F406" t="s">
        <v>33</v>
      </c>
      <c r="G406" s="1">
        <v>45336</v>
      </c>
      <c r="H406">
        <v>152</v>
      </c>
      <c r="I406">
        <v>21</v>
      </c>
      <c r="J406">
        <v>13</v>
      </c>
      <c r="K406">
        <v>144</v>
      </c>
      <c r="L406">
        <v>90</v>
      </c>
      <c r="M406">
        <v>1291</v>
      </c>
      <c r="N406">
        <v>10</v>
      </c>
      <c r="O406">
        <v>5</v>
      </c>
      <c r="P406" t="s">
        <v>24</v>
      </c>
      <c r="Q406">
        <v>49</v>
      </c>
      <c r="R406" s="2">
        <v>185904</v>
      </c>
    </row>
    <row r="407" spans="1:18" x14ac:dyDescent="0.35">
      <c r="A407" t="s">
        <v>34</v>
      </c>
      <c r="B407" t="s">
        <v>35</v>
      </c>
      <c r="C407" t="s">
        <v>20</v>
      </c>
      <c r="D407" t="s">
        <v>39</v>
      </c>
      <c r="E407" t="s">
        <v>40</v>
      </c>
      <c r="F407" t="s">
        <v>23</v>
      </c>
      <c r="G407" s="1">
        <v>45337</v>
      </c>
      <c r="H407">
        <v>137</v>
      </c>
      <c r="I407">
        <v>57</v>
      </c>
      <c r="J407">
        <v>45</v>
      </c>
      <c r="K407">
        <v>125</v>
      </c>
      <c r="L407">
        <v>46</v>
      </c>
      <c r="M407">
        <v>887</v>
      </c>
      <c r="N407">
        <v>13</v>
      </c>
      <c r="O407">
        <v>9</v>
      </c>
      <c r="P407" t="s">
        <v>24</v>
      </c>
      <c r="Q407">
        <v>22</v>
      </c>
      <c r="R407" s="2">
        <v>110875</v>
      </c>
    </row>
    <row r="408" spans="1:18" x14ac:dyDescent="0.35">
      <c r="A408" t="s">
        <v>18</v>
      </c>
      <c r="B408" t="s">
        <v>19</v>
      </c>
      <c r="C408" t="s">
        <v>20</v>
      </c>
      <c r="D408" t="s">
        <v>39</v>
      </c>
      <c r="E408" t="s">
        <v>40</v>
      </c>
      <c r="F408" t="s">
        <v>30</v>
      </c>
      <c r="G408" s="1">
        <v>45338</v>
      </c>
      <c r="H408">
        <v>237</v>
      </c>
      <c r="I408">
        <v>29</v>
      </c>
      <c r="J408">
        <v>21</v>
      </c>
      <c r="K408">
        <v>229</v>
      </c>
      <c r="L408">
        <v>98</v>
      </c>
      <c r="M408">
        <v>455</v>
      </c>
      <c r="N408">
        <v>12</v>
      </c>
      <c r="O408">
        <v>0</v>
      </c>
      <c r="P408" t="s">
        <v>24</v>
      </c>
      <c r="Q408">
        <v>64</v>
      </c>
      <c r="R408" s="2">
        <v>104195</v>
      </c>
    </row>
    <row r="409" spans="1:18" x14ac:dyDescent="0.35">
      <c r="A409" t="s">
        <v>28</v>
      </c>
      <c r="B409" t="s">
        <v>29</v>
      </c>
      <c r="C409" t="s">
        <v>20</v>
      </c>
      <c r="D409" t="s">
        <v>37</v>
      </c>
      <c r="E409" t="s">
        <v>46</v>
      </c>
      <c r="F409" t="s">
        <v>33</v>
      </c>
      <c r="G409" s="1">
        <v>45339</v>
      </c>
      <c r="H409">
        <v>140</v>
      </c>
      <c r="I409">
        <v>38</v>
      </c>
      <c r="J409">
        <v>14</v>
      </c>
      <c r="K409">
        <v>116</v>
      </c>
      <c r="L409">
        <v>97</v>
      </c>
      <c r="M409">
        <v>1336</v>
      </c>
      <c r="N409">
        <v>7</v>
      </c>
      <c r="O409">
        <v>5</v>
      </c>
      <c r="P409" t="s">
        <v>24</v>
      </c>
      <c r="Q409">
        <v>52</v>
      </c>
      <c r="R409" s="2">
        <v>154976</v>
      </c>
    </row>
    <row r="410" spans="1:18" x14ac:dyDescent="0.35">
      <c r="A410" t="s">
        <v>25</v>
      </c>
      <c r="B410" t="s">
        <v>26</v>
      </c>
      <c r="C410" t="s">
        <v>20</v>
      </c>
      <c r="D410" t="s">
        <v>43</v>
      </c>
      <c r="E410" t="s">
        <v>48</v>
      </c>
      <c r="F410" t="s">
        <v>30</v>
      </c>
      <c r="G410" s="1">
        <v>45340</v>
      </c>
      <c r="H410">
        <v>114</v>
      </c>
      <c r="I410">
        <v>39</v>
      </c>
      <c r="J410">
        <v>31</v>
      </c>
      <c r="K410">
        <v>106</v>
      </c>
      <c r="L410">
        <v>91</v>
      </c>
      <c r="M410">
        <v>202</v>
      </c>
      <c r="N410">
        <v>3</v>
      </c>
      <c r="O410">
        <v>7</v>
      </c>
      <c r="P410" t="s">
        <v>24</v>
      </c>
      <c r="Q410">
        <v>64</v>
      </c>
      <c r="R410" s="2">
        <v>21412</v>
      </c>
    </row>
    <row r="411" spans="1:18" x14ac:dyDescent="0.35">
      <c r="A411" t="s">
        <v>28</v>
      </c>
      <c r="B411" t="s">
        <v>29</v>
      </c>
      <c r="C411" t="s">
        <v>20</v>
      </c>
      <c r="D411" t="s">
        <v>31</v>
      </c>
      <c r="E411" t="s">
        <v>32</v>
      </c>
      <c r="F411" t="s">
        <v>23</v>
      </c>
      <c r="G411" s="1">
        <v>45341</v>
      </c>
      <c r="H411">
        <v>69</v>
      </c>
      <c r="I411">
        <v>18</v>
      </c>
      <c r="J411">
        <v>62</v>
      </c>
      <c r="K411">
        <v>113</v>
      </c>
      <c r="L411">
        <v>56</v>
      </c>
      <c r="M411">
        <v>928</v>
      </c>
      <c r="N411">
        <v>7</v>
      </c>
      <c r="O411">
        <v>7</v>
      </c>
      <c r="P411" t="s">
        <v>24</v>
      </c>
      <c r="Q411">
        <v>19</v>
      </c>
      <c r="R411" s="2">
        <v>104864</v>
      </c>
    </row>
    <row r="412" spans="1:18" x14ac:dyDescent="0.35">
      <c r="A412" t="s">
        <v>34</v>
      </c>
      <c r="B412" t="s">
        <v>35</v>
      </c>
      <c r="C412" t="s">
        <v>20</v>
      </c>
      <c r="D412" t="s">
        <v>31</v>
      </c>
      <c r="E412" t="s">
        <v>47</v>
      </c>
      <c r="F412" t="s">
        <v>30</v>
      </c>
      <c r="G412" s="1">
        <v>45342</v>
      </c>
      <c r="H412">
        <v>146</v>
      </c>
      <c r="I412">
        <v>28</v>
      </c>
      <c r="J412">
        <v>74</v>
      </c>
      <c r="K412">
        <v>192</v>
      </c>
      <c r="L412">
        <v>92</v>
      </c>
      <c r="M412">
        <v>761</v>
      </c>
      <c r="N412">
        <v>12</v>
      </c>
      <c r="O412">
        <v>9</v>
      </c>
      <c r="P412" t="s">
        <v>24</v>
      </c>
      <c r="Q412">
        <v>58</v>
      </c>
      <c r="R412" s="2">
        <v>146112</v>
      </c>
    </row>
    <row r="413" spans="1:18" x14ac:dyDescent="0.35">
      <c r="A413" t="s">
        <v>25</v>
      </c>
      <c r="B413" t="s">
        <v>26</v>
      </c>
      <c r="C413" t="s">
        <v>20</v>
      </c>
      <c r="D413" t="s">
        <v>31</v>
      </c>
      <c r="E413" t="s">
        <v>32</v>
      </c>
      <c r="F413" t="s">
        <v>30</v>
      </c>
      <c r="G413" s="1">
        <v>45343</v>
      </c>
      <c r="H413">
        <v>225</v>
      </c>
      <c r="I413">
        <v>51</v>
      </c>
      <c r="J413">
        <v>37</v>
      </c>
      <c r="K413">
        <v>211</v>
      </c>
      <c r="L413">
        <v>64</v>
      </c>
      <c r="M413">
        <v>720</v>
      </c>
      <c r="N413">
        <v>10</v>
      </c>
      <c r="O413">
        <v>10</v>
      </c>
      <c r="P413" t="s">
        <v>24</v>
      </c>
      <c r="Q413">
        <v>49</v>
      </c>
      <c r="R413" s="2">
        <v>151920</v>
      </c>
    </row>
    <row r="414" spans="1:18" x14ac:dyDescent="0.35">
      <c r="A414" t="s">
        <v>41</v>
      </c>
      <c r="B414" t="s">
        <v>42</v>
      </c>
      <c r="C414" t="s">
        <v>20</v>
      </c>
      <c r="D414" t="s">
        <v>37</v>
      </c>
      <c r="E414" t="s">
        <v>38</v>
      </c>
      <c r="F414" t="s">
        <v>30</v>
      </c>
      <c r="G414" s="1">
        <v>45344</v>
      </c>
      <c r="H414">
        <v>232</v>
      </c>
      <c r="I414">
        <v>39</v>
      </c>
      <c r="J414">
        <v>55</v>
      </c>
      <c r="K414">
        <v>248</v>
      </c>
      <c r="L414">
        <v>98</v>
      </c>
      <c r="M414">
        <v>503</v>
      </c>
      <c r="N414">
        <v>8</v>
      </c>
      <c r="O414">
        <v>8</v>
      </c>
      <c r="P414" t="s">
        <v>24</v>
      </c>
      <c r="Q414">
        <v>67</v>
      </c>
      <c r="R414" s="2">
        <v>124744</v>
      </c>
    </row>
    <row r="415" spans="1:18" x14ac:dyDescent="0.35">
      <c r="A415" t="s">
        <v>41</v>
      </c>
      <c r="B415" t="s">
        <v>42</v>
      </c>
      <c r="C415" t="s">
        <v>20</v>
      </c>
      <c r="D415" t="s">
        <v>31</v>
      </c>
      <c r="E415" t="s">
        <v>47</v>
      </c>
      <c r="F415" t="s">
        <v>23</v>
      </c>
      <c r="G415" s="1">
        <v>45345</v>
      </c>
      <c r="H415">
        <v>50</v>
      </c>
      <c r="I415">
        <v>11</v>
      </c>
      <c r="J415">
        <v>23</v>
      </c>
      <c r="K415">
        <v>62</v>
      </c>
      <c r="L415">
        <v>62</v>
      </c>
      <c r="M415">
        <v>693</v>
      </c>
      <c r="N415">
        <v>15</v>
      </c>
      <c r="O415">
        <v>6</v>
      </c>
      <c r="P415" t="s">
        <v>36</v>
      </c>
      <c r="Q415">
        <v>34</v>
      </c>
      <c r="R415" s="2">
        <v>42966</v>
      </c>
    </row>
    <row r="416" spans="1:18" x14ac:dyDescent="0.35">
      <c r="A416" t="s">
        <v>18</v>
      </c>
      <c r="B416" t="s">
        <v>19</v>
      </c>
      <c r="C416" t="s">
        <v>20</v>
      </c>
      <c r="D416" t="s">
        <v>43</v>
      </c>
      <c r="E416" t="s">
        <v>44</v>
      </c>
      <c r="F416" t="s">
        <v>30</v>
      </c>
      <c r="G416" s="1">
        <v>45346</v>
      </c>
      <c r="H416">
        <v>97</v>
      </c>
      <c r="I416">
        <v>53</v>
      </c>
      <c r="J416">
        <v>40</v>
      </c>
      <c r="K416">
        <v>84</v>
      </c>
      <c r="L416">
        <v>76</v>
      </c>
      <c r="M416">
        <v>1056</v>
      </c>
      <c r="N416">
        <v>14</v>
      </c>
      <c r="O416">
        <v>5</v>
      </c>
      <c r="P416" t="s">
        <v>24</v>
      </c>
      <c r="Q416">
        <v>50</v>
      </c>
      <c r="R416" s="2">
        <v>88704</v>
      </c>
    </row>
    <row r="417" spans="1:18" x14ac:dyDescent="0.35">
      <c r="A417" t="s">
        <v>41</v>
      </c>
      <c r="B417" t="s">
        <v>42</v>
      </c>
      <c r="C417" t="s">
        <v>20</v>
      </c>
      <c r="D417" t="s">
        <v>37</v>
      </c>
      <c r="E417" t="s">
        <v>38</v>
      </c>
      <c r="F417" t="s">
        <v>23</v>
      </c>
      <c r="G417" s="1">
        <v>45347</v>
      </c>
      <c r="H417">
        <v>190</v>
      </c>
      <c r="I417">
        <v>36</v>
      </c>
      <c r="J417">
        <v>55</v>
      </c>
      <c r="K417">
        <v>209</v>
      </c>
      <c r="L417">
        <v>73</v>
      </c>
      <c r="M417">
        <v>1484</v>
      </c>
      <c r="N417">
        <v>5</v>
      </c>
      <c r="O417">
        <v>3</v>
      </c>
      <c r="P417" t="s">
        <v>24</v>
      </c>
      <c r="Q417">
        <v>29</v>
      </c>
      <c r="R417" s="2">
        <v>310156</v>
      </c>
    </row>
    <row r="418" spans="1:18" x14ac:dyDescent="0.35">
      <c r="A418" t="s">
        <v>41</v>
      </c>
      <c r="B418" t="s">
        <v>42</v>
      </c>
      <c r="C418" t="s">
        <v>20</v>
      </c>
      <c r="D418" t="s">
        <v>43</v>
      </c>
      <c r="E418" t="s">
        <v>44</v>
      </c>
      <c r="F418" t="s">
        <v>30</v>
      </c>
      <c r="G418" s="1">
        <v>45348</v>
      </c>
      <c r="H418">
        <v>115</v>
      </c>
      <c r="I418">
        <v>14</v>
      </c>
      <c r="J418">
        <v>45</v>
      </c>
      <c r="K418">
        <v>146</v>
      </c>
      <c r="L418">
        <v>67</v>
      </c>
      <c r="M418">
        <v>647</v>
      </c>
      <c r="N418">
        <v>14</v>
      </c>
      <c r="O418">
        <v>4</v>
      </c>
      <c r="P418" t="s">
        <v>24</v>
      </c>
      <c r="Q418">
        <v>57</v>
      </c>
      <c r="R418" s="2">
        <v>94462</v>
      </c>
    </row>
    <row r="419" spans="1:18" x14ac:dyDescent="0.35">
      <c r="A419" t="s">
        <v>41</v>
      </c>
      <c r="B419" t="s">
        <v>42</v>
      </c>
      <c r="C419" t="s">
        <v>20</v>
      </c>
      <c r="D419" t="s">
        <v>43</v>
      </c>
      <c r="E419" t="s">
        <v>44</v>
      </c>
      <c r="F419" t="s">
        <v>33</v>
      </c>
      <c r="G419" s="1">
        <v>45349</v>
      </c>
      <c r="H419">
        <v>296</v>
      </c>
      <c r="I419">
        <v>11</v>
      </c>
      <c r="J419">
        <v>25</v>
      </c>
      <c r="K419">
        <v>310</v>
      </c>
      <c r="L419">
        <v>90</v>
      </c>
      <c r="M419">
        <v>247</v>
      </c>
      <c r="N419">
        <v>6</v>
      </c>
      <c r="O419">
        <v>1</v>
      </c>
      <c r="P419" t="s">
        <v>24</v>
      </c>
      <c r="Q419">
        <v>44</v>
      </c>
      <c r="R419" s="2">
        <v>76570</v>
      </c>
    </row>
    <row r="420" spans="1:18" x14ac:dyDescent="0.35">
      <c r="A420" t="s">
        <v>28</v>
      </c>
      <c r="B420" t="s">
        <v>29</v>
      </c>
      <c r="C420" t="s">
        <v>20</v>
      </c>
      <c r="D420" t="s">
        <v>37</v>
      </c>
      <c r="E420" t="s">
        <v>38</v>
      </c>
      <c r="F420" t="s">
        <v>30</v>
      </c>
      <c r="G420" s="1">
        <v>45350</v>
      </c>
      <c r="H420">
        <v>213</v>
      </c>
      <c r="I420">
        <v>25</v>
      </c>
      <c r="J420">
        <v>13</v>
      </c>
      <c r="K420">
        <v>201</v>
      </c>
      <c r="L420">
        <v>72</v>
      </c>
      <c r="M420">
        <v>135</v>
      </c>
      <c r="N420">
        <v>10</v>
      </c>
      <c r="O420">
        <v>3</v>
      </c>
      <c r="P420" t="s">
        <v>24</v>
      </c>
      <c r="Q420">
        <v>14</v>
      </c>
      <c r="R420" s="2">
        <v>27135</v>
      </c>
    </row>
    <row r="421" spans="1:18" x14ac:dyDescent="0.35">
      <c r="A421" t="s">
        <v>34</v>
      </c>
      <c r="B421" t="s">
        <v>35</v>
      </c>
      <c r="C421" t="s">
        <v>20</v>
      </c>
      <c r="D421" t="s">
        <v>37</v>
      </c>
      <c r="E421" t="s">
        <v>38</v>
      </c>
      <c r="F421" t="s">
        <v>23</v>
      </c>
      <c r="G421" s="1">
        <v>45351</v>
      </c>
      <c r="H421">
        <v>136</v>
      </c>
      <c r="I421">
        <v>15</v>
      </c>
      <c r="J421">
        <v>3</v>
      </c>
      <c r="K421">
        <v>124</v>
      </c>
      <c r="L421">
        <v>84</v>
      </c>
      <c r="M421">
        <v>1032</v>
      </c>
      <c r="N421">
        <v>15</v>
      </c>
      <c r="O421">
        <v>9</v>
      </c>
      <c r="P421" t="s">
        <v>24</v>
      </c>
      <c r="Q421">
        <v>47</v>
      </c>
      <c r="R421" s="2">
        <v>127968</v>
      </c>
    </row>
    <row r="422" spans="1:18" x14ac:dyDescent="0.35">
      <c r="A422" t="s">
        <v>28</v>
      </c>
      <c r="B422" t="s">
        <v>29</v>
      </c>
      <c r="C422" t="s">
        <v>20</v>
      </c>
      <c r="D422" t="s">
        <v>21</v>
      </c>
      <c r="E422" t="s">
        <v>22</v>
      </c>
      <c r="F422" t="s">
        <v>23</v>
      </c>
      <c r="G422" s="1">
        <v>45352</v>
      </c>
      <c r="H422">
        <v>239</v>
      </c>
      <c r="I422">
        <v>34</v>
      </c>
      <c r="J422">
        <v>79</v>
      </c>
      <c r="K422">
        <v>284</v>
      </c>
      <c r="L422">
        <v>83</v>
      </c>
      <c r="M422">
        <v>213</v>
      </c>
      <c r="N422">
        <v>4</v>
      </c>
      <c r="O422">
        <v>7</v>
      </c>
      <c r="P422" t="s">
        <v>24</v>
      </c>
      <c r="Q422">
        <v>29</v>
      </c>
      <c r="R422" s="2">
        <v>60492</v>
      </c>
    </row>
    <row r="423" spans="1:18" x14ac:dyDescent="0.35">
      <c r="A423" t="s">
        <v>28</v>
      </c>
      <c r="B423" t="s">
        <v>29</v>
      </c>
      <c r="C423" t="s">
        <v>20</v>
      </c>
      <c r="D423" t="s">
        <v>43</v>
      </c>
      <c r="E423" t="s">
        <v>48</v>
      </c>
      <c r="F423" t="s">
        <v>23</v>
      </c>
      <c r="G423" s="1">
        <v>45353</v>
      </c>
      <c r="H423">
        <v>275</v>
      </c>
      <c r="I423">
        <v>10</v>
      </c>
      <c r="J423">
        <v>67</v>
      </c>
      <c r="K423">
        <v>332</v>
      </c>
      <c r="L423">
        <v>74</v>
      </c>
      <c r="M423">
        <v>714</v>
      </c>
      <c r="N423">
        <v>6</v>
      </c>
      <c r="O423">
        <v>5</v>
      </c>
      <c r="P423" t="s">
        <v>24</v>
      </c>
      <c r="Q423">
        <v>43</v>
      </c>
      <c r="R423" s="2">
        <v>237048</v>
      </c>
    </row>
    <row r="424" spans="1:18" x14ac:dyDescent="0.35">
      <c r="A424" t="s">
        <v>41</v>
      </c>
      <c r="B424" t="s">
        <v>42</v>
      </c>
      <c r="C424" t="s">
        <v>20</v>
      </c>
      <c r="D424" t="s">
        <v>31</v>
      </c>
      <c r="E424" t="s">
        <v>32</v>
      </c>
      <c r="F424" t="s">
        <v>23</v>
      </c>
      <c r="G424" s="1">
        <v>45354</v>
      </c>
      <c r="H424">
        <v>128</v>
      </c>
      <c r="I424">
        <v>29</v>
      </c>
      <c r="J424">
        <v>41</v>
      </c>
      <c r="K424">
        <v>140</v>
      </c>
      <c r="L424">
        <v>79</v>
      </c>
      <c r="M424">
        <v>1217</v>
      </c>
      <c r="N424">
        <v>4</v>
      </c>
      <c r="O424">
        <v>1</v>
      </c>
      <c r="P424" t="s">
        <v>24</v>
      </c>
      <c r="Q424">
        <v>11</v>
      </c>
      <c r="R424" s="2">
        <v>170380</v>
      </c>
    </row>
    <row r="425" spans="1:18" x14ac:dyDescent="0.35">
      <c r="A425" t="s">
        <v>41</v>
      </c>
      <c r="B425" t="s">
        <v>42</v>
      </c>
      <c r="C425" t="s">
        <v>20</v>
      </c>
      <c r="D425" t="s">
        <v>39</v>
      </c>
      <c r="E425" t="s">
        <v>40</v>
      </c>
      <c r="F425" t="s">
        <v>30</v>
      </c>
      <c r="G425" s="1">
        <v>45355</v>
      </c>
      <c r="H425">
        <v>112</v>
      </c>
      <c r="I425">
        <v>15</v>
      </c>
      <c r="J425">
        <v>20</v>
      </c>
      <c r="K425">
        <v>117</v>
      </c>
      <c r="L425">
        <v>47</v>
      </c>
      <c r="M425">
        <v>1065</v>
      </c>
      <c r="N425">
        <v>13</v>
      </c>
      <c r="O425">
        <v>0</v>
      </c>
      <c r="P425" t="s">
        <v>24</v>
      </c>
      <c r="Q425">
        <v>28</v>
      </c>
      <c r="R425" s="2">
        <v>124605</v>
      </c>
    </row>
    <row r="426" spans="1:18" x14ac:dyDescent="0.35">
      <c r="A426" t="s">
        <v>25</v>
      </c>
      <c r="B426" t="s">
        <v>26</v>
      </c>
      <c r="C426" t="s">
        <v>20</v>
      </c>
      <c r="D426" t="s">
        <v>39</v>
      </c>
      <c r="E426" t="s">
        <v>40</v>
      </c>
      <c r="F426" t="s">
        <v>30</v>
      </c>
      <c r="G426" s="1">
        <v>45356</v>
      </c>
      <c r="H426">
        <v>141</v>
      </c>
      <c r="I426">
        <v>55</v>
      </c>
      <c r="J426">
        <v>36</v>
      </c>
      <c r="K426">
        <v>122</v>
      </c>
      <c r="L426">
        <v>76</v>
      </c>
      <c r="M426">
        <v>523</v>
      </c>
      <c r="N426">
        <v>11</v>
      </c>
      <c r="O426">
        <v>1</v>
      </c>
      <c r="P426" t="s">
        <v>24</v>
      </c>
      <c r="Q426">
        <v>57</v>
      </c>
      <c r="R426" s="2">
        <v>63806</v>
      </c>
    </row>
    <row r="427" spans="1:18" x14ac:dyDescent="0.35">
      <c r="A427" t="s">
        <v>18</v>
      </c>
      <c r="B427" t="s">
        <v>19</v>
      </c>
      <c r="C427" t="s">
        <v>20</v>
      </c>
      <c r="D427" t="s">
        <v>37</v>
      </c>
      <c r="E427" t="s">
        <v>38</v>
      </c>
      <c r="F427" t="s">
        <v>30</v>
      </c>
      <c r="G427" s="1">
        <v>45357</v>
      </c>
      <c r="H427">
        <v>192</v>
      </c>
      <c r="I427">
        <v>51</v>
      </c>
      <c r="J427">
        <v>36</v>
      </c>
      <c r="K427">
        <v>177</v>
      </c>
      <c r="L427">
        <v>67</v>
      </c>
      <c r="M427">
        <v>1057</v>
      </c>
      <c r="N427">
        <v>9</v>
      </c>
      <c r="O427">
        <v>6</v>
      </c>
      <c r="P427" t="s">
        <v>24</v>
      </c>
      <c r="Q427">
        <v>68</v>
      </c>
      <c r="R427" s="2">
        <v>187089</v>
      </c>
    </row>
    <row r="428" spans="1:18" x14ac:dyDescent="0.35">
      <c r="A428" t="s">
        <v>41</v>
      </c>
      <c r="B428" t="s">
        <v>42</v>
      </c>
      <c r="C428" t="s">
        <v>20</v>
      </c>
      <c r="D428" t="s">
        <v>21</v>
      </c>
      <c r="E428" t="s">
        <v>22</v>
      </c>
      <c r="F428" t="s">
        <v>33</v>
      </c>
      <c r="G428" s="1">
        <v>45358</v>
      </c>
      <c r="H428">
        <v>271</v>
      </c>
      <c r="I428">
        <v>16</v>
      </c>
      <c r="J428">
        <v>34</v>
      </c>
      <c r="K428">
        <v>289</v>
      </c>
      <c r="L428">
        <v>89</v>
      </c>
      <c r="M428">
        <v>813</v>
      </c>
      <c r="N428">
        <v>13</v>
      </c>
      <c r="O428">
        <v>10</v>
      </c>
      <c r="P428" t="s">
        <v>24</v>
      </c>
      <c r="Q428">
        <v>46</v>
      </c>
      <c r="R428" s="2">
        <v>234957</v>
      </c>
    </row>
    <row r="429" spans="1:18" x14ac:dyDescent="0.35">
      <c r="A429" t="s">
        <v>41</v>
      </c>
      <c r="B429" t="s">
        <v>42</v>
      </c>
      <c r="C429" t="s">
        <v>20</v>
      </c>
      <c r="D429" t="s">
        <v>43</v>
      </c>
      <c r="E429" t="s">
        <v>48</v>
      </c>
      <c r="F429" t="s">
        <v>23</v>
      </c>
      <c r="G429" s="1">
        <v>45359</v>
      </c>
      <c r="H429">
        <v>291</v>
      </c>
      <c r="I429">
        <v>38</v>
      </c>
      <c r="J429">
        <v>51</v>
      </c>
      <c r="K429">
        <v>304</v>
      </c>
      <c r="L429">
        <v>74</v>
      </c>
      <c r="M429">
        <v>430</v>
      </c>
      <c r="N429">
        <v>11</v>
      </c>
      <c r="O429">
        <v>0</v>
      </c>
      <c r="P429" t="s">
        <v>24</v>
      </c>
      <c r="Q429">
        <v>60</v>
      </c>
      <c r="R429" s="2">
        <v>130720</v>
      </c>
    </row>
    <row r="430" spans="1:18" x14ac:dyDescent="0.35">
      <c r="A430" t="s">
        <v>34</v>
      </c>
      <c r="B430" t="s">
        <v>35</v>
      </c>
      <c r="C430" t="s">
        <v>20</v>
      </c>
      <c r="D430" t="s">
        <v>43</v>
      </c>
      <c r="E430" t="s">
        <v>48</v>
      </c>
      <c r="F430" t="s">
        <v>33</v>
      </c>
      <c r="G430" s="1">
        <v>45360</v>
      </c>
      <c r="H430">
        <v>54</v>
      </c>
      <c r="I430">
        <v>37</v>
      </c>
      <c r="J430">
        <v>58</v>
      </c>
      <c r="K430">
        <v>75</v>
      </c>
      <c r="L430">
        <v>58</v>
      </c>
      <c r="M430">
        <v>1216</v>
      </c>
      <c r="N430">
        <v>8</v>
      </c>
      <c r="O430">
        <v>0</v>
      </c>
      <c r="P430" t="s">
        <v>24</v>
      </c>
      <c r="Q430">
        <v>70</v>
      </c>
      <c r="R430" s="2">
        <v>91200</v>
      </c>
    </row>
    <row r="431" spans="1:18" x14ac:dyDescent="0.35">
      <c r="A431" t="s">
        <v>25</v>
      </c>
      <c r="B431" t="s">
        <v>26</v>
      </c>
      <c r="C431" t="s">
        <v>20</v>
      </c>
      <c r="D431" t="s">
        <v>37</v>
      </c>
      <c r="E431" t="s">
        <v>46</v>
      </c>
      <c r="F431" t="s">
        <v>33</v>
      </c>
      <c r="G431" s="1">
        <v>45361</v>
      </c>
      <c r="H431">
        <v>184</v>
      </c>
      <c r="I431">
        <v>24</v>
      </c>
      <c r="J431">
        <v>32</v>
      </c>
      <c r="K431">
        <v>192</v>
      </c>
      <c r="L431">
        <v>79</v>
      </c>
      <c r="M431">
        <v>1474</v>
      </c>
      <c r="N431">
        <v>8</v>
      </c>
      <c r="O431">
        <v>9</v>
      </c>
      <c r="P431" t="s">
        <v>24</v>
      </c>
      <c r="Q431">
        <v>45</v>
      </c>
      <c r="R431" s="2">
        <v>283008</v>
      </c>
    </row>
    <row r="432" spans="1:18" x14ac:dyDescent="0.35">
      <c r="A432" t="s">
        <v>18</v>
      </c>
      <c r="B432" t="s">
        <v>19</v>
      </c>
      <c r="C432" t="s">
        <v>20</v>
      </c>
      <c r="D432" t="s">
        <v>39</v>
      </c>
      <c r="E432" t="s">
        <v>40</v>
      </c>
      <c r="F432" t="s">
        <v>33</v>
      </c>
      <c r="G432" s="1">
        <v>45362</v>
      </c>
      <c r="H432">
        <v>245</v>
      </c>
      <c r="I432">
        <v>48</v>
      </c>
      <c r="J432">
        <v>44</v>
      </c>
      <c r="K432">
        <v>241</v>
      </c>
      <c r="L432">
        <v>74</v>
      </c>
      <c r="M432">
        <v>345</v>
      </c>
      <c r="N432">
        <v>13</v>
      </c>
      <c r="O432">
        <v>3</v>
      </c>
      <c r="P432" t="s">
        <v>24</v>
      </c>
      <c r="Q432">
        <v>52</v>
      </c>
      <c r="R432" s="2">
        <v>83145</v>
      </c>
    </row>
    <row r="433" spans="1:18" x14ac:dyDescent="0.35">
      <c r="A433" t="s">
        <v>18</v>
      </c>
      <c r="B433" t="s">
        <v>19</v>
      </c>
      <c r="C433" t="s">
        <v>20</v>
      </c>
      <c r="D433" t="s">
        <v>31</v>
      </c>
      <c r="E433" t="s">
        <v>32</v>
      </c>
      <c r="F433" t="s">
        <v>33</v>
      </c>
      <c r="G433" s="1">
        <v>45363</v>
      </c>
      <c r="H433">
        <v>266</v>
      </c>
      <c r="I433">
        <v>24</v>
      </c>
      <c r="J433">
        <v>17</v>
      </c>
      <c r="K433">
        <v>259</v>
      </c>
      <c r="L433">
        <v>84</v>
      </c>
      <c r="M433">
        <v>673</v>
      </c>
      <c r="N433">
        <v>7</v>
      </c>
      <c r="O433">
        <v>1</v>
      </c>
      <c r="P433" t="s">
        <v>24</v>
      </c>
      <c r="Q433">
        <v>50</v>
      </c>
      <c r="R433" s="2">
        <v>174307</v>
      </c>
    </row>
    <row r="434" spans="1:18" x14ac:dyDescent="0.35">
      <c r="A434" t="s">
        <v>41</v>
      </c>
      <c r="B434" t="s">
        <v>42</v>
      </c>
      <c r="C434" t="s">
        <v>20</v>
      </c>
      <c r="D434" t="s">
        <v>31</v>
      </c>
      <c r="E434" t="s">
        <v>47</v>
      </c>
      <c r="F434" t="s">
        <v>23</v>
      </c>
      <c r="G434" s="1">
        <v>45364</v>
      </c>
      <c r="H434">
        <v>53</v>
      </c>
      <c r="I434">
        <v>26</v>
      </c>
      <c r="J434">
        <v>79</v>
      </c>
      <c r="K434">
        <v>106</v>
      </c>
      <c r="L434">
        <v>61</v>
      </c>
      <c r="M434">
        <v>818</v>
      </c>
      <c r="N434">
        <v>4</v>
      </c>
      <c r="O434">
        <v>4</v>
      </c>
      <c r="P434" t="s">
        <v>24</v>
      </c>
      <c r="Q434">
        <v>25</v>
      </c>
      <c r="R434" s="2">
        <v>86708</v>
      </c>
    </row>
    <row r="435" spans="1:18" x14ac:dyDescent="0.35">
      <c r="A435" t="s">
        <v>28</v>
      </c>
      <c r="B435" t="s">
        <v>29</v>
      </c>
      <c r="C435" t="s">
        <v>20</v>
      </c>
      <c r="D435" t="s">
        <v>39</v>
      </c>
      <c r="E435" t="s">
        <v>40</v>
      </c>
      <c r="F435" t="s">
        <v>30</v>
      </c>
      <c r="G435" s="1">
        <v>45365</v>
      </c>
      <c r="H435">
        <v>81</v>
      </c>
      <c r="I435">
        <v>36</v>
      </c>
      <c r="J435">
        <v>27</v>
      </c>
      <c r="K435">
        <v>72</v>
      </c>
      <c r="L435">
        <v>56</v>
      </c>
      <c r="M435">
        <v>535</v>
      </c>
      <c r="N435">
        <v>6</v>
      </c>
      <c r="O435">
        <v>9</v>
      </c>
      <c r="P435" t="s">
        <v>24</v>
      </c>
      <c r="Q435">
        <v>12</v>
      </c>
      <c r="R435" s="2">
        <v>38520</v>
      </c>
    </row>
    <row r="436" spans="1:18" x14ac:dyDescent="0.35">
      <c r="A436" t="s">
        <v>28</v>
      </c>
      <c r="B436" t="s">
        <v>29</v>
      </c>
      <c r="C436" t="s">
        <v>20</v>
      </c>
      <c r="D436" t="s">
        <v>43</v>
      </c>
      <c r="E436" t="s">
        <v>44</v>
      </c>
      <c r="F436" t="s">
        <v>23</v>
      </c>
      <c r="G436" s="1">
        <v>45366</v>
      </c>
      <c r="H436">
        <v>192</v>
      </c>
      <c r="I436">
        <v>26</v>
      </c>
      <c r="J436">
        <v>46</v>
      </c>
      <c r="K436">
        <v>212</v>
      </c>
      <c r="L436">
        <v>40</v>
      </c>
      <c r="M436">
        <v>729</v>
      </c>
      <c r="N436">
        <v>10</v>
      </c>
      <c r="O436">
        <v>4</v>
      </c>
      <c r="P436" t="s">
        <v>24</v>
      </c>
      <c r="Q436">
        <v>20</v>
      </c>
      <c r="R436" s="2">
        <v>154548</v>
      </c>
    </row>
    <row r="437" spans="1:18" x14ac:dyDescent="0.35">
      <c r="A437" t="s">
        <v>28</v>
      </c>
      <c r="B437" t="s">
        <v>29</v>
      </c>
      <c r="C437" t="s">
        <v>20</v>
      </c>
      <c r="D437" t="s">
        <v>37</v>
      </c>
      <c r="E437" t="s">
        <v>46</v>
      </c>
      <c r="F437" t="s">
        <v>30</v>
      </c>
      <c r="G437" s="1">
        <v>45367</v>
      </c>
      <c r="H437">
        <v>196</v>
      </c>
      <c r="I437">
        <v>39</v>
      </c>
      <c r="J437">
        <v>56</v>
      </c>
      <c r="K437">
        <v>213</v>
      </c>
      <c r="L437">
        <v>75</v>
      </c>
      <c r="M437">
        <v>170</v>
      </c>
      <c r="N437">
        <v>11</v>
      </c>
      <c r="O437">
        <v>1</v>
      </c>
      <c r="P437" t="s">
        <v>24</v>
      </c>
      <c r="Q437">
        <v>69</v>
      </c>
      <c r="R437" s="2">
        <v>36210</v>
      </c>
    </row>
    <row r="438" spans="1:18" x14ac:dyDescent="0.35">
      <c r="A438" t="s">
        <v>28</v>
      </c>
      <c r="B438" t="s">
        <v>29</v>
      </c>
      <c r="C438" t="s">
        <v>20</v>
      </c>
      <c r="D438" t="s">
        <v>31</v>
      </c>
      <c r="E438" t="s">
        <v>47</v>
      </c>
      <c r="F438" t="s">
        <v>30</v>
      </c>
      <c r="G438" s="1">
        <v>45368</v>
      </c>
      <c r="H438">
        <v>228</v>
      </c>
      <c r="I438">
        <v>12</v>
      </c>
      <c r="J438">
        <v>40</v>
      </c>
      <c r="K438">
        <v>256</v>
      </c>
      <c r="L438">
        <v>64</v>
      </c>
      <c r="M438">
        <v>151</v>
      </c>
      <c r="N438">
        <v>5</v>
      </c>
      <c r="O438">
        <v>2</v>
      </c>
      <c r="P438" t="s">
        <v>24</v>
      </c>
      <c r="Q438">
        <v>68</v>
      </c>
      <c r="R438" s="2">
        <v>38656</v>
      </c>
    </row>
    <row r="439" spans="1:18" x14ac:dyDescent="0.35">
      <c r="A439" t="s">
        <v>34</v>
      </c>
      <c r="B439" t="s">
        <v>35</v>
      </c>
      <c r="C439" t="s">
        <v>20</v>
      </c>
      <c r="D439" t="s">
        <v>39</v>
      </c>
      <c r="E439" t="s">
        <v>45</v>
      </c>
      <c r="F439" t="s">
        <v>23</v>
      </c>
      <c r="G439" s="1">
        <v>45369</v>
      </c>
      <c r="H439">
        <v>55</v>
      </c>
      <c r="I439">
        <v>37</v>
      </c>
      <c r="J439">
        <v>28</v>
      </c>
      <c r="K439">
        <v>46</v>
      </c>
      <c r="L439">
        <v>89</v>
      </c>
      <c r="M439">
        <v>1061</v>
      </c>
      <c r="N439">
        <v>2</v>
      </c>
      <c r="O439">
        <v>10</v>
      </c>
      <c r="P439" t="s">
        <v>36</v>
      </c>
      <c r="Q439">
        <v>22</v>
      </c>
      <c r="R439" s="2">
        <v>48806</v>
      </c>
    </row>
    <row r="440" spans="1:18" x14ac:dyDescent="0.35">
      <c r="A440" t="s">
        <v>34</v>
      </c>
      <c r="B440" t="s">
        <v>35</v>
      </c>
      <c r="C440" t="s">
        <v>20</v>
      </c>
      <c r="D440" t="s">
        <v>37</v>
      </c>
      <c r="E440" t="s">
        <v>46</v>
      </c>
      <c r="F440" t="s">
        <v>30</v>
      </c>
      <c r="G440" s="1">
        <v>45370</v>
      </c>
      <c r="H440">
        <v>249</v>
      </c>
      <c r="I440">
        <v>55</v>
      </c>
      <c r="J440">
        <v>11</v>
      </c>
      <c r="K440">
        <v>205</v>
      </c>
      <c r="L440">
        <v>63</v>
      </c>
      <c r="M440">
        <v>781</v>
      </c>
      <c r="N440">
        <v>13</v>
      </c>
      <c r="O440">
        <v>10</v>
      </c>
      <c r="P440" t="s">
        <v>24</v>
      </c>
      <c r="Q440">
        <v>64</v>
      </c>
      <c r="R440" s="2">
        <v>160105</v>
      </c>
    </row>
    <row r="441" spans="1:18" x14ac:dyDescent="0.35">
      <c r="A441" t="s">
        <v>28</v>
      </c>
      <c r="B441" t="s">
        <v>29</v>
      </c>
      <c r="C441" t="s">
        <v>20</v>
      </c>
      <c r="D441" t="s">
        <v>43</v>
      </c>
      <c r="E441" t="s">
        <v>44</v>
      </c>
      <c r="F441" t="s">
        <v>23</v>
      </c>
      <c r="G441" s="1">
        <v>45371</v>
      </c>
      <c r="H441">
        <v>139</v>
      </c>
      <c r="I441">
        <v>18</v>
      </c>
      <c r="J441">
        <v>23</v>
      </c>
      <c r="K441">
        <v>144</v>
      </c>
      <c r="L441">
        <v>86</v>
      </c>
      <c r="M441">
        <v>196</v>
      </c>
      <c r="N441">
        <v>15</v>
      </c>
      <c r="O441">
        <v>0</v>
      </c>
      <c r="P441" t="s">
        <v>24</v>
      </c>
      <c r="Q441">
        <v>49</v>
      </c>
      <c r="R441" s="2">
        <v>28224</v>
      </c>
    </row>
    <row r="442" spans="1:18" x14ac:dyDescent="0.35">
      <c r="A442" t="s">
        <v>34</v>
      </c>
      <c r="B442" t="s">
        <v>35</v>
      </c>
      <c r="C442" t="s">
        <v>20</v>
      </c>
      <c r="D442" t="s">
        <v>31</v>
      </c>
      <c r="E442" t="s">
        <v>32</v>
      </c>
      <c r="F442" t="s">
        <v>23</v>
      </c>
      <c r="G442" s="1">
        <v>45372</v>
      </c>
      <c r="H442">
        <v>208</v>
      </c>
      <c r="I442">
        <v>20</v>
      </c>
      <c r="J442">
        <v>75</v>
      </c>
      <c r="K442">
        <v>263</v>
      </c>
      <c r="L442">
        <v>55</v>
      </c>
      <c r="M442">
        <v>1197</v>
      </c>
      <c r="N442">
        <v>5</v>
      </c>
      <c r="O442">
        <v>6</v>
      </c>
      <c r="P442" t="s">
        <v>24</v>
      </c>
      <c r="Q442">
        <v>28</v>
      </c>
      <c r="R442" s="2">
        <v>314811</v>
      </c>
    </row>
    <row r="443" spans="1:18" x14ac:dyDescent="0.35">
      <c r="A443" t="s">
        <v>25</v>
      </c>
      <c r="B443" t="s">
        <v>26</v>
      </c>
      <c r="C443" t="s">
        <v>20</v>
      </c>
      <c r="D443" t="s">
        <v>43</v>
      </c>
      <c r="E443" t="s">
        <v>44</v>
      </c>
      <c r="F443" t="s">
        <v>30</v>
      </c>
      <c r="G443" s="1">
        <v>45373</v>
      </c>
      <c r="H443">
        <v>246</v>
      </c>
      <c r="I443">
        <v>19</v>
      </c>
      <c r="J443">
        <v>36</v>
      </c>
      <c r="K443">
        <v>263</v>
      </c>
      <c r="L443">
        <v>43</v>
      </c>
      <c r="M443">
        <v>1212</v>
      </c>
      <c r="N443">
        <v>14</v>
      </c>
      <c r="O443">
        <v>8</v>
      </c>
      <c r="P443" t="s">
        <v>24</v>
      </c>
      <c r="Q443">
        <v>69</v>
      </c>
      <c r="R443" s="2">
        <v>318756</v>
      </c>
    </row>
    <row r="444" spans="1:18" x14ac:dyDescent="0.35">
      <c r="A444" t="s">
        <v>34</v>
      </c>
      <c r="B444" t="s">
        <v>35</v>
      </c>
      <c r="C444" t="s">
        <v>20</v>
      </c>
      <c r="D444" t="s">
        <v>21</v>
      </c>
      <c r="E444" t="s">
        <v>22</v>
      </c>
      <c r="F444" t="s">
        <v>23</v>
      </c>
      <c r="G444" s="1">
        <v>45374</v>
      </c>
      <c r="H444">
        <v>260</v>
      </c>
      <c r="I444">
        <v>19</v>
      </c>
      <c r="J444">
        <v>78</v>
      </c>
      <c r="K444">
        <v>319</v>
      </c>
      <c r="L444">
        <v>60</v>
      </c>
      <c r="M444">
        <v>305</v>
      </c>
      <c r="N444">
        <v>7</v>
      </c>
      <c r="O444">
        <v>0</v>
      </c>
      <c r="P444" t="s">
        <v>24</v>
      </c>
      <c r="Q444">
        <v>10</v>
      </c>
      <c r="R444" s="2">
        <v>97295</v>
      </c>
    </row>
    <row r="445" spans="1:18" x14ac:dyDescent="0.35">
      <c r="A445" t="s">
        <v>34</v>
      </c>
      <c r="B445" t="s">
        <v>35</v>
      </c>
      <c r="C445" t="s">
        <v>20</v>
      </c>
      <c r="D445" t="s">
        <v>31</v>
      </c>
      <c r="E445" t="s">
        <v>32</v>
      </c>
      <c r="F445" t="s">
        <v>33</v>
      </c>
      <c r="G445" s="1">
        <v>45375</v>
      </c>
      <c r="H445">
        <v>106</v>
      </c>
      <c r="I445">
        <v>17</v>
      </c>
      <c r="J445">
        <v>37</v>
      </c>
      <c r="K445">
        <v>126</v>
      </c>
      <c r="L445">
        <v>57</v>
      </c>
      <c r="M445">
        <v>1078</v>
      </c>
      <c r="N445">
        <v>5</v>
      </c>
      <c r="O445">
        <v>8</v>
      </c>
      <c r="P445" t="s">
        <v>24</v>
      </c>
      <c r="Q445">
        <v>36</v>
      </c>
      <c r="R445" s="2">
        <v>135828</v>
      </c>
    </row>
    <row r="446" spans="1:18" x14ac:dyDescent="0.35">
      <c r="A446" t="s">
        <v>25</v>
      </c>
      <c r="B446" t="s">
        <v>26</v>
      </c>
      <c r="C446" t="s">
        <v>20</v>
      </c>
      <c r="D446" t="s">
        <v>37</v>
      </c>
      <c r="E446" t="s">
        <v>46</v>
      </c>
      <c r="F446" t="s">
        <v>33</v>
      </c>
      <c r="G446" s="1">
        <v>45376</v>
      </c>
      <c r="H446">
        <v>299</v>
      </c>
      <c r="I446">
        <v>9</v>
      </c>
      <c r="J446">
        <v>28</v>
      </c>
      <c r="K446">
        <v>318</v>
      </c>
      <c r="L446">
        <v>92</v>
      </c>
      <c r="M446">
        <v>1189</v>
      </c>
      <c r="N446">
        <v>3</v>
      </c>
      <c r="O446">
        <v>7</v>
      </c>
      <c r="P446" t="s">
        <v>24</v>
      </c>
      <c r="Q446">
        <v>51</v>
      </c>
      <c r="R446" s="2">
        <v>378102</v>
      </c>
    </row>
    <row r="447" spans="1:18" x14ac:dyDescent="0.35">
      <c r="A447" t="s">
        <v>18</v>
      </c>
      <c r="B447" t="s">
        <v>19</v>
      </c>
      <c r="C447" t="s">
        <v>20</v>
      </c>
      <c r="D447" t="s">
        <v>37</v>
      </c>
      <c r="E447" t="s">
        <v>38</v>
      </c>
      <c r="F447" t="s">
        <v>23</v>
      </c>
      <c r="G447" s="1">
        <v>45377</v>
      </c>
      <c r="H447">
        <v>161</v>
      </c>
      <c r="I447">
        <v>16</v>
      </c>
      <c r="J447">
        <v>63</v>
      </c>
      <c r="K447">
        <v>208</v>
      </c>
      <c r="L447">
        <v>70</v>
      </c>
      <c r="M447">
        <v>1346</v>
      </c>
      <c r="N447">
        <v>13</v>
      </c>
      <c r="O447">
        <v>8</v>
      </c>
      <c r="P447" t="s">
        <v>24</v>
      </c>
      <c r="Q447">
        <v>35</v>
      </c>
      <c r="R447" s="2">
        <v>279968</v>
      </c>
    </row>
    <row r="448" spans="1:18" x14ac:dyDescent="0.35">
      <c r="A448" t="s">
        <v>18</v>
      </c>
      <c r="B448" t="s">
        <v>19</v>
      </c>
      <c r="C448" t="s">
        <v>20</v>
      </c>
      <c r="D448" t="s">
        <v>21</v>
      </c>
      <c r="E448" t="s">
        <v>27</v>
      </c>
      <c r="F448" t="s">
        <v>33</v>
      </c>
      <c r="G448" s="1">
        <v>45378</v>
      </c>
      <c r="H448">
        <v>77</v>
      </c>
      <c r="I448">
        <v>14</v>
      </c>
      <c r="J448">
        <v>4</v>
      </c>
      <c r="K448">
        <v>67</v>
      </c>
      <c r="L448">
        <v>52</v>
      </c>
      <c r="M448">
        <v>894</v>
      </c>
      <c r="N448">
        <v>13</v>
      </c>
      <c r="O448">
        <v>9</v>
      </c>
      <c r="P448" t="s">
        <v>24</v>
      </c>
      <c r="Q448">
        <v>40</v>
      </c>
      <c r="R448" s="2">
        <v>59898</v>
      </c>
    </row>
    <row r="449" spans="1:18" x14ac:dyDescent="0.35">
      <c r="A449" t="s">
        <v>25</v>
      </c>
      <c r="B449" t="s">
        <v>26</v>
      </c>
      <c r="C449" t="s">
        <v>20</v>
      </c>
      <c r="D449" t="s">
        <v>37</v>
      </c>
      <c r="E449" t="s">
        <v>46</v>
      </c>
      <c r="F449" t="s">
        <v>33</v>
      </c>
      <c r="G449" s="1">
        <v>45379</v>
      </c>
      <c r="H449">
        <v>184</v>
      </c>
      <c r="I449">
        <v>20</v>
      </c>
      <c r="J449">
        <v>60</v>
      </c>
      <c r="K449">
        <v>224</v>
      </c>
      <c r="L449">
        <v>95</v>
      </c>
      <c r="M449">
        <v>950</v>
      </c>
      <c r="N449">
        <v>4</v>
      </c>
      <c r="O449">
        <v>5</v>
      </c>
      <c r="P449" t="s">
        <v>24</v>
      </c>
      <c r="Q449">
        <v>44</v>
      </c>
      <c r="R449" s="2">
        <v>212800</v>
      </c>
    </row>
    <row r="450" spans="1:18" x14ac:dyDescent="0.35">
      <c r="A450" t="s">
        <v>18</v>
      </c>
      <c r="B450" t="s">
        <v>19</v>
      </c>
      <c r="C450" t="s">
        <v>20</v>
      </c>
      <c r="D450" t="s">
        <v>31</v>
      </c>
      <c r="E450" t="s">
        <v>32</v>
      </c>
      <c r="F450" t="s">
        <v>30</v>
      </c>
      <c r="G450" s="1">
        <v>45380</v>
      </c>
      <c r="H450">
        <v>258</v>
      </c>
      <c r="I450">
        <v>31</v>
      </c>
      <c r="J450">
        <v>14</v>
      </c>
      <c r="K450">
        <v>241</v>
      </c>
      <c r="L450">
        <v>60</v>
      </c>
      <c r="M450">
        <v>101</v>
      </c>
      <c r="N450">
        <v>12</v>
      </c>
      <c r="O450">
        <v>9</v>
      </c>
      <c r="P450" t="s">
        <v>24</v>
      </c>
      <c r="Q450">
        <v>58</v>
      </c>
      <c r="R450" s="2">
        <v>24341</v>
      </c>
    </row>
    <row r="451" spans="1:18" x14ac:dyDescent="0.35">
      <c r="A451" t="s">
        <v>25</v>
      </c>
      <c r="B451" t="s">
        <v>26</v>
      </c>
      <c r="C451" t="s">
        <v>20</v>
      </c>
      <c r="D451" t="s">
        <v>31</v>
      </c>
      <c r="E451" t="s">
        <v>32</v>
      </c>
      <c r="F451" t="s">
        <v>23</v>
      </c>
      <c r="G451" s="1">
        <v>45381</v>
      </c>
      <c r="H451">
        <v>276</v>
      </c>
      <c r="I451">
        <v>29</v>
      </c>
      <c r="J451">
        <v>2</v>
      </c>
      <c r="K451">
        <v>249</v>
      </c>
      <c r="L451">
        <v>63</v>
      </c>
      <c r="M451">
        <v>621</v>
      </c>
      <c r="N451">
        <v>15</v>
      </c>
      <c r="O451">
        <v>4</v>
      </c>
      <c r="P451" t="s">
        <v>24</v>
      </c>
      <c r="Q451">
        <v>44</v>
      </c>
      <c r="R451" s="2">
        <v>154629</v>
      </c>
    </row>
    <row r="452" spans="1:18" x14ac:dyDescent="0.35">
      <c r="A452" t="s">
        <v>25</v>
      </c>
      <c r="B452" t="s">
        <v>26</v>
      </c>
      <c r="C452" t="s">
        <v>20</v>
      </c>
      <c r="D452" t="s">
        <v>37</v>
      </c>
      <c r="E452" t="s">
        <v>46</v>
      </c>
      <c r="F452" t="s">
        <v>23</v>
      </c>
      <c r="G452" s="1">
        <v>45382</v>
      </c>
      <c r="H452">
        <v>100</v>
      </c>
      <c r="I452">
        <v>50</v>
      </c>
      <c r="J452">
        <v>9</v>
      </c>
      <c r="K452">
        <v>59</v>
      </c>
      <c r="L452">
        <v>41</v>
      </c>
      <c r="M452">
        <v>1259</v>
      </c>
      <c r="N452">
        <v>13</v>
      </c>
      <c r="O452">
        <v>6</v>
      </c>
      <c r="P452" t="s">
        <v>24</v>
      </c>
      <c r="Q452">
        <v>20</v>
      </c>
      <c r="R452" s="2">
        <v>74281</v>
      </c>
    </row>
    <row r="453" spans="1:18" x14ac:dyDescent="0.35">
      <c r="A453" t="s">
        <v>28</v>
      </c>
      <c r="B453" t="s">
        <v>29</v>
      </c>
      <c r="C453" t="s">
        <v>20</v>
      </c>
      <c r="D453" t="s">
        <v>39</v>
      </c>
      <c r="E453" t="s">
        <v>45</v>
      </c>
      <c r="F453" t="s">
        <v>30</v>
      </c>
      <c r="G453" s="1">
        <v>45383</v>
      </c>
      <c r="H453">
        <v>215</v>
      </c>
      <c r="I453">
        <v>40</v>
      </c>
      <c r="J453">
        <v>70</v>
      </c>
      <c r="K453">
        <v>245</v>
      </c>
      <c r="L453">
        <v>63</v>
      </c>
      <c r="M453">
        <v>1497</v>
      </c>
      <c r="N453">
        <v>12</v>
      </c>
      <c r="O453">
        <v>3</v>
      </c>
      <c r="P453" t="s">
        <v>24</v>
      </c>
      <c r="Q453">
        <v>29</v>
      </c>
      <c r="R453" s="2">
        <v>366765</v>
      </c>
    </row>
    <row r="454" spans="1:18" x14ac:dyDescent="0.35">
      <c r="A454" t="s">
        <v>28</v>
      </c>
      <c r="B454" t="s">
        <v>29</v>
      </c>
      <c r="C454" t="s">
        <v>20</v>
      </c>
      <c r="D454" t="s">
        <v>37</v>
      </c>
      <c r="E454" t="s">
        <v>38</v>
      </c>
      <c r="F454" t="s">
        <v>30</v>
      </c>
      <c r="G454" s="1">
        <v>45384</v>
      </c>
      <c r="H454">
        <v>186</v>
      </c>
      <c r="I454">
        <v>28</v>
      </c>
      <c r="J454">
        <v>34</v>
      </c>
      <c r="K454">
        <v>192</v>
      </c>
      <c r="L454">
        <v>99</v>
      </c>
      <c r="M454">
        <v>644</v>
      </c>
      <c r="N454">
        <v>4</v>
      </c>
      <c r="O454">
        <v>10</v>
      </c>
      <c r="P454" t="s">
        <v>24</v>
      </c>
      <c r="Q454">
        <v>54</v>
      </c>
      <c r="R454" s="2">
        <v>123648</v>
      </c>
    </row>
    <row r="455" spans="1:18" x14ac:dyDescent="0.35">
      <c r="A455" t="s">
        <v>18</v>
      </c>
      <c r="B455" t="s">
        <v>19</v>
      </c>
      <c r="C455" t="s">
        <v>20</v>
      </c>
      <c r="D455" t="s">
        <v>21</v>
      </c>
      <c r="E455" t="s">
        <v>27</v>
      </c>
      <c r="F455" t="s">
        <v>23</v>
      </c>
      <c r="G455" s="1">
        <v>45385</v>
      </c>
      <c r="H455">
        <v>269</v>
      </c>
      <c r="I455">
        <v>22</v>
      </c>
      <c r="J455">
        <v>35</v>
      </c>
      <c r="K455">
        <v>282</v>
      </c>
      <c r="L455">
        <v>99</v>
      </c>
      <c r="M455">
        <v>817</v>
      </c>
      <c r="N455">
        <v>10</v>
      </c>
      <c r="O455">
        <v>6</v>
      </c>
      <c r="P455" t="s">
        <v>24</v>
      </c>
      <c r="Q455">
        <v>29</v>
      </c>
      <c r="R455" s="2">
        <v>230394</v>
      </c>
    </row>
    <row r="456" spans="1:18" x14ac:dyDescent="0.35">
      <c r="A456" t="s">
        <v>18</v>
      </c>
      <c r="B456" t="s">
        <v>19</v>
      </c>
      <c r="C456" t="s">
        <v>20</v>
      </c>
      <c r="D456" t="s">
        <v>43</v>
      </c>
      <c r="E456" t="s">
        <v>48</v>
      </c>
      <c r="F456" t="s">
        <v>30</v>
      </c>
      <c r="G456" s="1">
        <v>45386</v>
      </c>
      <c r="H456">
        <v>92</v>
      </c>
      <c r="I456">
        <v>11</v>
      </c>
      <c r="J456">
        <v>20</v>
      </c>
      <c r="K456">
        <v>101</v>
      </c>
      <c r="L456">
        <v>96</v>
      </c>
      <c r="M456">
        <v>929</v>
      </c>
      <c r="N456">
        <v>2</v>
      </c>
      <c r="O456">
        <v>1</v>
      </c>
      <c r="P456" t="s">
        <v>24</v>
      </c>
      <c r="Q456">
        <v>64</v>
      </c>
      <c r="R456" s="2">
        <v>93829</v>
      </c>
    </row>
    <row r="457" spans="1:18" x14ac:dyDescent="0.35">
      <c r="A457" t="s">
        <v>34</v>
      </c>
      <c r="B457" t="s">
        <v>35</v>
      </c>
      <c r="C457" t="s">
        <v>20</v>
      </c>
      <c r="D457" t="s">
        <v>39</v>
      </c>
      <c r="E457" t="s">
        <v>40</v>
      </c>
      <c r="F457" t="s">
        <v>33</v>
      </c>
      <c r="G457" s="1">
        <v>45387</v>
      </c>
      <c r="H457">
        <v>286</v>
      </c>
      <c r="I457">
        <v>41</v>
      </c>
      <c r="J457">
        <v>48</v>
      </c>
      <c r="K457">
        <v>293</v>
      </c>
      <c r="L457">
        <v>65</v>
      </c>
      <c r="M457">
        <v>1325</v>
      </c>
      <c r="N457">
        <v>5</v>
      </c>
      <c r="O457">
        <v>2</v>
      </c>
      <c r="P457" t="s">
        <v>24</v>
      </c>
      <c r="Q457">
        <v>65</v>
      </c>
      <c r="R457" s="2">
        <v>388225</v>
      </c>
    </row>
    <row r="458" spans="1:18" x14ac:dyDescent="0.35">
      <c r="A458" t="s">
        <v>34</v>
      </c>
      <c r="B458" t="s">
        <v>35</v>
      </c>
      <c r="C458" t="s">
        <v>20</v>
      </c>
      <c r="D458" t="s">
        <v>31</v>
      </c>
      <c r="E458" t="s">
        <v>47</v>
      </c>
      <c r="F458" t="s">
        <v>23</v>
      </c>
      <c r="G458" s="1">
        <v>45388</v>
      </c>
      <c r="H458">
        <v>96</v>
      </c>
      <c r="I458">
        <v>28</v>
      </c>
      <c r="J458">
        <v>2</v>
      </c>
      <c r="K458">
        <v>70</v>
      </c>
      <c r="L458">
        <v>97</v>
      </c>
      <c r="M458">
        <v>696</v>
      </c>
      <c r="N458">
        <v>10</v>
      </c>
      <c r="O458">
        <v>5</v>
      </c>
      <c r="P458" t="s">
        <v>36</v>
      </c>
      <c r="Q458">
        <v>68</v>
      </c>
      <c r="R458" s="2">
        <v>48720</v>
      </c>
    </row>
    <row r="459" spans="1:18" x14ac:dyDescent="0.35">
      <c r="A459" t="s">
        <v>28</v>
      </c>
      <c r="B459" t="s">
        <v>29</v>
      </c>
      <c r="C459" t="s">
        <v>20</v>
      </c>
      <c r="D459" t="s">
        <v>37</v>
      </c>
      <c r="E459" t="s">
        <v>38</v>
      </c>
      <c r="F459" t="s">
        <v>33</v>
      </c>
      <c r="G459" s="1">
        <v>45389</v>
      </c>
      <c r="H459">
        <v>82</v>
      </c>
      <c r="I459">
        <v>7</v>
      </c>
      <c r="J459">
        <v>26</v>
      </c>
      <c r="K459">
        <v>101</v>
      </c>
      <c r="L459">
        <v>42</v>
      </c>
      <c r="M459">
        <v>1064</v>
      </c>
      <c r="N459">
        <v>9</v>
      </c>
      <c r="O459">
        <v>10</v>
      </c>
      <c r="P459" t="s">
        <v>24</v>
      </c>
      <c r="Q459">
        <v>65</v>
      </c>
      <c r="R459" s="2">
        <v>107464</v>
      </c>
    </row>
    <row r="460" spans="1:18" x14ac:dyDescent="0.35">
      <c r="A460" t="s">
        <v>28</v>
      </c>
      <c r="B460" t="s">
        <v>29</v>
      </c>
      <c r="C460" t="s">
        <v>20</v>
      </c>
      <c r="D460" t="s">
        <v>31</v>
      </c>
      <c r="E460" t="s">
        <v>47</v>
      </c>
      <c r="F460" t="s">
        <v>30</v>
      </c>
      <c r="G460" s="1">
        <v>45390</v>
      </c>
      <c r="H460">
        <v>62</v>
      </c>
      <c r="I460">
        <v>16</v>
      </c>
      <c r="J460">
        <v>24</v>
      </c>
      <c r="K460">
        <v>70</v>
      </c>
      <c r="L460">
        <v>65</v>
      </c>
      <c r="M460">
        <v>410</v>
      </c>
      <c r="N460">
        <v>9</v>
      </c>
      <c r="O460">
        <v>10</v>
      </c>
      <c r="P460" t="s">
        <v>24</v>
      </c>
      <c r="Q460">
        <v>56</v>
      </c>
      <c r="R460" s="2">
        <v>28700</v>
      </c>
    </row>
    <row r="461" spans="1:18" x14ac:dyDescent="0.35">
      <c r="A461" t="s">
        <v>41</v>
      </c>
      <c r="B461" t="s">
        <v>42</v>
      </c>
      <c r="C461" t="s">
        <v>20</v>
      </c>
      <c r="D461" t="s">
        <v>21</v>
      </c>
      <c r="E461" t="s">
        <v>22</v>
      </c>
      <c r="F461" t="s">
        <v>33</v>
      </c>
      <c r="G461" s="1">
        <v>45391</v>
      </c>
      <c r="H461">
        <v>207</v>
      </c>
      <c r="I461">
        <v>32</v>
      </c>
      <c r="J461">
        <v>51</v>
      </c>
      <c r="K461">
        <v>226</v>
      </c>
      <c r="L461">
        <v>47</v>
      </c>
      <c r="M461">
        <v>381</v>
      </c>
      <c r="N461">
        <v>5</v>
      </c>
      <c r="O461">
        <v>3</v>
      </c>
      <c r="P461" t="s">
        <v>24</v>
      </c>
      <c r="Q461">
        <v>29</v>
      </c>
      <c r="R461" s="2">
        <v>86106</v>
      </c>
    </row>
    <row r="462" spans="1:18" x14ac:dyDescent="0.35">
      <c r="A462" t="s">
        <v>25</v>
      </c>
      <c r="B462" t="s">
        <v>26</v>
      </c>
      <c r="C462" t="s">
        <v>20</v>
      </c>
      <c r="D462" t="s">
        <v>43</v>
      </c>
      <c r="E462" t="s">
        <v>44</v>
      </c>
      <c r="F462" t="s">
        <v>33</v>
      </c>
      <c r="G462" s="1">
        <v>45392</v>
      </c>
      <c r="H462">
        <v>91</v>
      </c>
      <c r="I462">
        <v>46</v>
      </c>
      <c r="J462">
        <v>74</v>
      </c>
      <c r="K462">
        <v>119</v>
      </c>
      <c r="L462">
        <v>62</v>
      </c>
      <c r="M462">
        <v>1337</v>
      </c>
      <c r="N462">
        <v>3</v>
      </c>
      <c r="O462">
        <v>8</v>
      </c>
      <c r="P462" t="s">
        <v>24</v>
      </c>
      <c r="Q462">
        <v>56</v>
      </c>
      <c r="R462" s="2">
        <v>159103</v>
      </c>
    </row>
    <row r="463" spans="1:18" x14ac:dyDescent="0.35">
      <c r="A463" t="s">
        <v>28</v>
      </c>
      <c r="B463" t="s">
        <v>29</v>
      </c>
      <c r="C463" t="s">
        <v>20</v>
      </c>
      <c r="D463" t="s">
        <v>21</v>
      </c>
      <c r="E463" t="s">
        <v>27</v>
      </c>
      <c r="F463" t="s">
        <v>23</v>
      </c>
      <c r="G463" s="1">
        <v>45393</v>
      </c>
      <c r="H463">
        <v>231</v>
      </c>
      <c r="I463">
        <v>8</v>
      </c>
      <c r="J463">
        <v>38</v>
      </c>
      <c r="K463">
        <v>261</v>
      </c>
      <c r="L463">
        <v>50</v>
      </c>
      <c r="M463">
        <v>551</v>
      </c>
      <c r="N463">
        <v>12</v>
      </c>
      <c r="O463">
        <v>0</v>
      </c>
      <c r="P463" t="s">
        <v>24</v>
      </c>
      <c r="Q463">
        <v>46</v>
      </c>
      <c r="R463" s="2">
        <v>143811</v>
      </c>
    </row>
    <row r="464" spans="1:18" x14ac:dyDescent="0.35">
      <c r="A464" t="s">
        <v>18</v>
      </c>
      <c r="B464" t="s">
        <v>19</v>
      </c>
      <c r="C464" t="s">
        <v>20</v>
      </c>
      <c r="D464" t="s">
        <v>39</v>
      </c>
      <c r="E464" t="s">
        <v>45</v>
      </c>
      <c r="F464" t="s">
        <v>33</v>
      </c>
      <c r="G464" s="1">
        <v>45394</v>
      </c>
      <c r="H464">
        <v>120</v>
      </c>
      <c r="I464">
        <v>56</v>
      </c>
      <c r="J464">
        <v>69</v>
      </c>
      <c r="K464">
        <v>133</v>
      </c>
      <c r="L464">
        <v>77</v>
      </c>
      <c r="M464">
        <v>122</v>
      </c>
      <c r="N464">
        <v>6</v>
      </c>
      <c r="O464">
        <v>6</v>
      </c>
      <c r="P464" t="s">
        <v>24</v>
      </c>
      <c r="Q464">
        <v>47</v>
      </c>
      <c r="R464" s="2">
        <v>16226</v>
      </c>
    </row>
    <row r="465" spans="1:18" x14ac:dyDescent="0.35">
      <c r="A465" t="s">
        <v>28</v>
      </c>
      <c r="B465" t="s">
        <v>29</v>
      </c>
      <c r="C465" t="s">
        <v>20</v>
      </c>
      <c r="D465" t="s">
        <v>31</v>
      </c>
      <c r="E465" t="s">
        <v>32</v>
      </c>
      <c r="F465" t="s">
        <v>33</v>
      </c>
      <c r="G465" s="1">
        <v>45395</v>
      </c>
      <c r="H465">
        <v>131</v>
      </c>
      <c r="I465">
        <v>10</v>
      </c>
      <c r="J465">
        <v>38</v>
      </c>
      <c r="K465">
        <v>159</v>
      </c>
      <c r="L465">
        <v>53</v>
      </c>
      <c r="M465">
        <v>742</v>
      </c>
      <c r="N465">
        <v>5</v>
      </c>
      <c r="O465">
        <v>3</v>
      </c>
      <c r="P465" t="s">
        <v>24</v>
      </c>
      <c r="Q465">
        <v>13</v>
      </c>
      <c r="R465" s="2">
        <v>117978</v>
      </c>
    </row>
    <row r="466" spans="1:18" x14ac:dyDescent="0.35">
      <c r="A466" t="s">
        <v>28</v>
      </c>
      <c r="B466" t="s">
        <v>29</v>
      </c>
      <c r="C466" t="s">
        <v>20</v>
      </c>
      <c r="D466" t="s">
        <v>21</v>
      </c>
      <c r="E466" t="s">
        <v>27</v>
      </c>
      <c r="F466" t="s">
        <v>33</v>
      </c>
      <c r="G466" s="1">
        <v>45396</v>
      </c>
      <c r="H466">
        <v>103</v>
      </c>
      <c r="I466">
        <v>40</v>
      </c>
      <c r="J466">
        <v>34</v>
      </c>
      <c r="K466">
        <v>97</v>
      </c>
      <c r="L466">
        <v>79</v>
      </c>
      <c r="M466">
        <v>273</v>
      </c>
      <c r="N466">
        <v>11</v>
      </c>
      <c r="O466">
        <v>8</v>
      </c>
      <c r="P466" t="s">
        <v>24</v>
      </c>
      <c r="Q466">
        <v>59</v>
      </c>
      <c r="R466" s="2">
        <v>26481</v>
      </c>
    </row>
    <row r="467" spans="1:18" x14ac:dyDescent="0.35">
      <c r="A467" t="s">
        <v>25</v>
      </c>
      <c r="B467" t="s">
        <v>26</v>
      </c>
      <c r="C467" t="s">
        <v>20</v>
      </c>
      <c r="D467" t="s">
        <v>37</v>
      </c>
      <c r="E467" t="s">
        <v>38</v>
      </c>
      <c r="F467" t="s">
        <v>23</v>
      </c>
      <c r="G467" s="1">
        <v>45397</v>
      </c>
      <c r="H467">
        <v>174</v>
      </c>
      <c r="I467">
        <v>9</v>
      </c>
      <c r="J467">
        <v>2</v>
      </c>
      <c r="K467">
        <v>167</v>
      </c>
      <c r="L467">
        <v>47</v>
      </c>
      <c r="M467">
        <v>1420</v>
      </c>
      <c r="N467">
        <v>3</v>
      </c>
      <c r="O467">
        <v>3</v>
      </c>
      <c r="P467" t="s">
        <v>24</v>
      </c>
      <c r="Q467">
        <v>12</v>
      </c>
      <c r="R467" s="2">
        <v>237140</v>
      </c>
    </row>
    <row r="468" spans="1:18" x14ac:dyDescent="0.35">
      <c r="A468" t="s">
        <v>25</v>
      </c>
      <c r="B468" t="s">
        <v>26</v>
      </c>
      <c r="C468" t="s">
        <v>20</v>
      </c>
      <c r="D468" t="s">
        <v>43</v>
      </c>
      <c r="E468" t="s">
        <v>44</v>
      </c>
      <c r="F468" t="s">
        <v>23</v>
      </c>
      <c r="G468" s="1">
        <v>45398</v>
      </c>
      <c r="H468">
        <v>76</v>
      </c>
      <c r="I468">
        <v>25</v>
      </c>
      <c r="J468">
        <v>21</v>
      </c>
      <c r="K468">
        <v>72</v>
      </c>
      <c r="L468">
        <v>71</v>
      </c>
      <c r="M468">
        <v>664</v>
      </c>
      <c r="N468">
        <v>8</v>
      </c>
      <c r="O468">
        <v>5</v>
      </c>
      <c r="P468" t="s">
        <v>24</v>
      </c>
      <c r="Q468">
        <v>13</v>
      </c>
      <c r="R468" s="2">
        <v>47808</v>
      </c>
    </row>
    <row r="469" spans="1:18" x14ac:dyDescent="0.35">
      <c r="A469" t="s">
        <v>25</v>
      </c>
      <c r="B469" t="s">
        <v>26</v>
      </c>
      <c r="C469" t="s">
        <v>20</v>
      </c>
      <c r="D469" t="s">
        <v>39</v>
      </c>
      <c r="E469" t="s">
        <v>40</v>
      </c>
      <c r="F469" t="s">
        <v>23</v>
      </c>
      <c r="G469" s="1">
        <v>45399</v>
      </c>
      <c r="H469">
        <v>124</v>
      </c>
      <c r="I469">
        <v>8</v>
      </c>
      <c r="J469">
        <v>62</v>
      </c>
      <c r="K469">
        <v>178</v>
      </c>
      <c r="L469">
        <v>100</v>
      </c>
      <c r="M469">
        <v>1226</v>
      </c>
      <c r="N469">
        <v>5</v>
      </c>
      <c r="O469">
        <v>4</v>
      </c>
      <c r="P469" t="s">
        <v>24</v>
      </c>
      <c r="Q469">
        <v>40</v>
      </c>
      <c r="R469" s="2">
        <v>218228</v>
      </c>
    </row>
    <row r="470" spans="1:18" x14ac:dyDescent="0.35">
      <c r="A470" t="s">
        <v>41</v>
      </c>
      <c r="B470" t="s">
        <v>42</v>
      </c>
      <c r="C470" t="s">
        <v>20</v>
      </c>
      <c r="D470" t="s">
        <v>21</v>
      </c>
      <c r="E470" t="s">
        <v>27</v>
      </c>
      <c r="F470" t="s">
        <v>23</v>
      </c>
      <c r="G470" s="1">
        <v>45400</v>
      </c>
      <c r="H470">
        <v>235</v>
      </c>
      <c r="I470">
        <v>17</v>
      </c>
      <c r="J470">
        <v>30</v>
      </c>
      <c r="K470">
        <v>248</v>
      </c>
      <c r="L470">
        <v>66</v>
      </c>
      <c r="M470">
        <v>976</v>
      </c>
      <c r="N470">
        <v>4</v>
      </c>
      <c r="O470">
        <v>0</v>
      </c>
      <c r="P470" t="s">
        <v>24</v>
      </c>
      <c r="Q470">
        <v>14</v>
      </c>
      <c r="R470" s="2">
        <v>242048</v>
      </c>
    </row>
    <row r="471" spans="1:18" x14ac:dyDescent="0.35">
      <c r="A471" t="s">
        <v>34</v>
      </c>
      <c r="B471" t="s">
        <v>35</v>
      </c>
      <c r="C471" t="s">
        <v>20</v>
      </c>
      <c r="D471" t="s">
        <v>39</v>
      </c>
      <c r="E471" t="s">
        <v>40</v>
      </c>
      <c r="F471" t="s">
        <v>30</v>
      </c>
      <c r="G471" s="1">
        <v>45401</v>
      </c>
      <c r="H471">
        <v>134</v>
      </c>
      <c r="I471">
        <v>48</v>
      </c>
      <c r="J471">
        <v>49</v>
      </c>
      <c r="K471">
        <v>135</v>
      </c>
      <c r="L471">
        <v>69</v>
      </c>
      <c r="M471">
        <v>988</v>
      </c>
      <c r="N471">
        <v>14</v>
      </c>
      <c r="O471">
        <v>5</v>
      </c>
      <c r="P471" t="s">
        <v>24</v>
      </c>
      <c r="Q471">
        <v>51</v>
      </c>
      <c r="R471" s="2">
        <v>133380</v>
      </c>
    </row>
    <row r="472" spans="1:18" x14ac:dyDescent="0.35">
      <c r="A472" t="s">
        <v>28</v>
      </c>
      <c r="B472" t="s">
        <v>29</v>
      </c>
      <c r="C472" t="s">
        <v>20</v>
      </c>
      <c r="D472" t="s">
        <v>43</v>
      </c>
      <c r="E472" t="s">
        <v>44</v>
      </c>
      <c r="F472" t="s">
        <v>33</v>
      </c>
      <c r="G472" s="1">
        <v>45402</v>
      </c>
      <c r="H472">
        <v>236</v>
      </c>
      <c r="I472">
        <v>30</v>
      </c>
      <c r="J472">
        <v>67</v>
      </c>
      <c r="K472">
        <v>273</v>
      </c>
      <c r="L472">
        <v>48</v>
      </c>
      <c r="M472">
        <v>1487</v>
      </c>
      <c r="N472">
        <v>10</v>
      </c>
      <c r="O472">
        <v>4</v>
      </c>
      <c r="P472" t="s">
        <v>24</v>
      </c>
      <c r="Q472">
        <v>67</v>
      </c>
      <c r="R472" s="2">
        <v>405951</v>
      </c>
    </row>
    <row r="473" spans="1:18" x14ac:dyDescent="0.35">
      <c r="A473" t="s">
        <v>41</v>
      </c>
      <c r="B473" t="s">
        <v>42</v>
      </c>
      <c r="C473" t="s">
        <v>20</v>
      </c>
      <c r="D473" t="s">
        <v>37</v>
      </c>
      <c r="E473" t="s">
        <v>46</v>
      </c>
      <c r="F473" t="s">
        <v>33</v>
      </c>
      <c r="G473" s="1">
        <v>45403</v>
      </c>
      <c r="H473">
        <v>193</v>
      </c>
      <c r="I473">
        <v>10</v>
      </c>
      <c r="J473">
        <v>58</v>
      </c>
      <c r="K473">
        <v>241</v>
      </c>
      <c r="L473">
        <v>100</v>
      </c>
      <c r="M473">
        <v>728</v>
      </c>
      <c r="N473">
        <v>3</v>
      </c>
      <c r="O473">
        <v>10</v>
      </c>
      <c r="P473" t="s">
        <v>24</v>
      </c>
      <c r="Q473">
        <v>10</v>
      </c>
      <c r="R473" s="2">
        <v>175448</v>
      </c>
    </row>
    <row r="474" spans="1:18" x14ac:dyDescent="0.35">
      <c r="A474" t="s">
        <v>25</v>
      </c>
      <c r="B474" t="s">
        <v>26</v>
      </c>
      <c r="C474" t="s">
        <v>20</v>
      </c>
      <c r="D474" t="s">
        <v>21</v>
      </c>
      <c r="E474" t="s">
        <v>27</v>
      </c>
      <c r="F474" t="s">
        <v>30</v>
      </c>
      <c r="G474" s="1">
        <v>45404</v>
      </c>
      <c r="H474">
        <v>111</v>
      </c>
      <c r="I474">
        <v>9</v>
      </c>
      <c r="J474">
        <v>38</v>
      </c>
      <c r="K474">
        <v>140</v>
      </c>
      <c r="L474">
        <v>77</v>
      </c>
      <c r="M474">
        <v>97</v>
      </c>
      <c r="N474">
        <v>15</v>
      </c>
      <c r="O474">
        <v>4</v>
      </c>
      <c r="P474" t="s">
        <v>24</v>
      </c>
      <c r="Q474">
        <v>70</v>
      </c>
      <c r="R474" s="2">
        <v>13580</v>
      </c>
    </row>
    <row r="475" spans="1:18" x14ac:dyDescent="0.35">
      <c r="A475" t="s">
        <v>25</v>
      </c>
      <c r="B475" t="s">
        <v>26</v>
      </c>
      <c r="C475" t="s">
        <v>20</v>
      </c>
      <c r="D475" t="s">
        <v>31</v>
      </c>
      <c r="E475" t="s">
        <v>32</v>
      </c>
      <c r="F475" t="s">
        <v>23</v>
      </c>
      <c r="G475" s="1">
        <v>45405</v>
      </c>
      <c r="H475">
        <v>204</v>
      </c>
      <c r="I475">
        <v>37</v>
      </c>
      <c r="J475">
        <v>77</v>
      </c>
      <c r="K475">
        <v>244</v>
      </c>
      <c r="L475">
        <v>75</v>
      </c>
      <c r="M475">
        <v>1309</v>
      </c>
      <c r="N475">
        <v>15</v>
      </c>
      <c r="O475">
        <v>6</v>
      </c>
      <c r="P475" t="s">
        <v>24</v>
      </c>
      <c r="Q475">
        <v>54</v>
      </c>
      <c r="R475" s="2">
        <v>319396</v>
      </c>
    </row>
    <row r="476" spans="1:18" x14ac:dyDescent="0.35">
      <c r="A476" t="s">
        <v>25</v>
      </c>
      <c r="B476" t="s">
        <v>26</v>
      </c>
      <c r="C476" t="s">
        <v>20</v>
      </c>
      <c r="D476" t="s">
        <v>37</v>
      </c>
      <c r="E476" t="s">
        <v>38</v>
      </c>
      <c r="F476" t="s">
        <v>33</v>
      </c>
      <c r="G476" s="1">
        <v>45406</v>
      </c>
      <c r="H476">
        <v>115</v>
      </c>
      <c r="I476">
        <v>7</v>
      </c>
      <c r="J476">
        <v>77</v>
      </c>
      <c r="K476">
        <v>185</v>
      </c>
      <c r="L476">
        <v>40</v>
      </c>
      <c r="M476">
        <v>940</v>
      </c>
      <c r="N476">
        <v>14</v>
      </c>
      <c r="O476">
        <v>7</v>
      </c>
      <c r="P476" t="s">
        <v>24</v>
      </c>
      <c r="Q476">
        <v>40</v>
      </c>
      <c r="R476" s="2">
        <v>173900</v>
      </c>
    </row>
    <row r="477" spans="1:18" x14ac:dyDescent="0.35">
      <c r="A477" t="s">
        <v>41</v>
      </c>
      <c r="B477" t="s">
        <v>42</v>
      </c>
      <c r="C477" t="s">
        <v>20</v>
      </c>
      <c r="D477" t="s">
        <v>37</v>
      </c>
      <c r="E477" t="s">
        <v>46</v>
      </c>
      <c r="F477" t="s">
        <v>23</v>
      </c>
      <c r="G477" s="1">
        <v>45407</v>
      </c>
      <c r="H477">
        <v>184</v>
      </c>
      <c r="I477">
        <v>36</v>
      </c>
      <c r="J477">
        <v>10</v>
      </c>
      <c r="K477">
        <v>158</v>
      </c>
      <c r="L477">
        <v>100</v>
      </c>
      <c r="M477">
        <v>159</v>
      </c>
      <c r="N477">
        <v>12</v>
      </c>
      <c r="O477">
        <v>8</v>
      </c>
      <c r="P477" t="s">
        <v>24</v>
      </c>
      <c r="Q477">
        <v>19</v>
      </c>
      <c r="R477" s="2">
        <v>25122</v>
      </c>
    </row>
    <row r="478" spans="1:18" x14ac:dyDescent="0.35">
      <c r="A478" t="s">
        <v>18</v>
      </c>
      <c r="B478" t="s">
        <v>19</v>
      </c>
      <c r="C478" t="s">
        <v>20</v>
      </c>
      <c r="D478" t="s">
        <v>39</v>
      </c>
      <c r="E478" t="s">
        <v>45</v>
      </c>
      <c r="F478" t="s">
        <v>33</v>
      </c>
      <c r="G478" s="1">
        <v>45408</v>
      </c>
      <c r="H478">
        <v>147</v>
      </c>
      <c r="I478">
        <v>43</v>
      </c>
      <c r="J478">
        <v>27</v>
      </c>
      <c r="K478">
        <v>131</v>
      </c>
      <c r="L478">
        <v>44</v>
      </c>
      <c r="M478">
        <v>1230</v>
      </c>
      <c r="N478">
        <v>14</v>
      </c>
      <c r="O478">
        <v>4</v>
      </c>
      <c r="P478" t="s">
        <v>24</v>
      </c>
      <c r="Q478">
        <v>50</v>
      </c>
      <c r="R478" s="2">
        <v>161130</v>
      </c>
    </row>
    <row r="479" spans="1:18" x14ac:dyDescent="0.35">
      <c r="A479" t="s">
        <v>34</v>
      </c>
      <c r="B479" t="s">
        <v>35</v>
      </c>
      <c r="C479" t="s">
        <v>20</v>
      </c>
      <c r="D479" t="s">
        <v>31</v>
      </c>
      <c r="E479" t="s">
        <v>32</v>
      </c>
      <c r="F479" t="s">
        <v>23</v>
      </c>
      <c r="G479" s="1">
        <v>45409</v>
      </c>
      <c r="H479">
        <v>131</v>
      </c>
      <c r="I479">
        <v>35</v>
      </c>
      <c r="J479">
        <v>66</v>
      </c>
      <c r="K479">
        <v>162</v>
      </c>
      <c r="L479">
        <v>71</v>
      </c>
      <c r="M479">
        <v>546</v>
      </c>
      <c r="N479">
        <v>14</v>
      </c>
      <c r="O479">
        <v>3</v>
      </c>
      <c r="P479" t="s">
        <v>24</v>
      </c>
      <c r="Q479">
        <v>38</v>
      </c>
      <c r="R479" s="2">
        <v>88452</v>
      </c>
    </row>
    <row r="480" spans="1:18" x14ac:dyDescent="0.35">
      <c r="A480" t="s">
        <v>34</v>
      </c>
      <c r="B480" t="s">
        <v>35</v>
      </c>
      <c r="C480" t="s">
        <v>20</v>
      </c>
      <c r="D480" t="s">
        <v>31</v>
      </c>
      <c r="E480" t="s">
        <v>32</v>
      </c>
      <c r="F480" t="s">
        <v>23</v>
      </c>
      <c r="G480" s="1">
        <v>45410</v>
      </c>
      <c r="H480">
        <v>184</v>
      </c>
      <c r="I480">
        <v>25</v>
      </c>
      <c r="J480">
        <v>77</v>
      </c>
      <c r="K480">
        <v>236</v>
      </c>
      <c r="L480">
        <v>49</v>
      </c>
      <c r="M480">
        <v>409</v>
      </c>
      <c r="N480">
        <v>6</v>
      </c>
      <c r="O480">
        <v>4</v>
      </c>
      <c r="P480" t="s">
        <v>24</v>
      </c>
      <c r="Q480">
        <v>68</v>
      </c>
      <c r="R480" s="2">
        <v>96524</v>
      </c>
    </row>
    <row r="481" spans="1:18" x14ac:dyDescent="0.35">
      <c r="A481" t="s">
        <v>28</v>
      </c>
      <c r="B481" t="s">
        <v>29</v>
      </c>
      <c r="C481" t="s">
        <v>20</v>
      </c>
      <c r="D481" t="s">
        <v>39</v>
      </c>
      <c r="E481" t="s">
        <v>40</v>
      </c>
      <c r="F481" t="s">
        <v>33</v>
      </c>
      <c r="G481" s="1">
        <v>45411</v>
      </c>
      <c r="H481">
        <v>201</v>
      </c>
      <c r="I481">
        <v>44</v>
      </c>
      <c r="J481">
        <v>70</v>
      </c>
      <c r="K481">
        <v>227</v>
      </c>
      <c r="L481">
        <v>97</v>
      </c>
      <c r="M481">
        <v>322</v>
      </c>
      <c r="N481">
        <v>14</v>
      </c>
      <c r="O481">
        <v>5</v>
      </c>
      <c r="P481" t="s">
        <v>24</v>
      </c>
      <c r="Q481">
        <v>23</v>
      </c>
      <c r="R481" s="2">
        <v>73094</v>
      </c>
    </row>
    <row r="482" spans="1:18" x14ac:dyDescent="0.35">
      <c r="A482" t="s">
        <v>28</v>
      </c>
      <c r="B482" t="s">
        <v>29</v>
      </c>
      <c r="C482" t="s">
        <v>20</v>
      </c>
      <c r="D482" t="s">
        <v>31</v>
      </c>
      <c r="E482" t="s">
        <v>32</v>
      </c>
      <c r="F482" t="s">
        <v>23</v>
      </c>
      <c r="G482" s="1">
        <v>45292</v>
      </c>
      <c r="H482">
        <v>61</v>
      </c>
      <c r="I482">
        <v>25</v>
      </c>
      <c r="J482">
        <v>28</v>
      </c>
      <c r="K482">
        <v>64</v>
      </c>
      <c r="L482">
        <v>58</v>
      </c>
      <c r="M482">
        <v>121</v>
      </c>
      <c r="N482">
        <v>10</v>
      </c>
      <c r="O482">
        <v>9</v>
      </c>
      <c r="P482" t="s">
        <v>24</v>
      </c>
      <c r="Q482">
        <v>53</v>
      </c>
      <c r="R482" s="2">
        <v>7744</v>
      </c>
    </row>
    <row r="483" spans="1:18" x14ac:dyDescent="0.35">
      <c r="A483" t="s">
        <v>28</v>
      </c>
      <c r="B483" t="s">
        <v>29</v>
      </c>
      <c r="C483" t="s">
        <v>20</v>
      </c>
      <c r="D483" t="s">
        <v>39</v>
      </c>
      <c r="E483" t="s">
        <v>45</v>
      </c>
      <c r="F483" t="s">
        <v>33</v>
      </c>
      <c r="G483" s="1">
        <v>45293</v>
      </c>
      <c r="H483">
        <v>264</v>
      </c>
      <c r="I483">
        <v>56</v>
      </c>
      <c r="J483">
        <v>50</v>
      </c>
      <c r="K483">
        <v>258</v>
      </c>
      <c r="L483">
        <v>70</v>
      </c>
      <c r="M483">
        <v>1222</v>
      </c>
      <c r="N483">
        <v>15</v>
      </c>
      <c r="O483">
        <v>0</v>
      </c>
      <c r="P483" t="s">
        <v>24</v>
      </c>
      <c r="Q483">
        <v>10</v>
      </c>
      <c r="R483" s="2">
        <v>315276</v>
      </c>
    </row>
    <row r="484" spans="1:18" x14ac:dyDescent="0.35">
      <c r="A484" t="s">
        <v>41</v>
      </c>
      <c r="B484" t="s">
        <v>42</v>
      </c>
      <c r="C484" t="s">
        <v>20</v>
      </c>
      <c r="D484" t="s">
        <v>43</v>
      </c>
      <c r="E484" t="s">
        <v>48</v>
      </c>
      <c r="F484" t="s">
        <v>33</v>
      </c>
      <c r="G484" s="1">
        <v>45294</v>
      </c>
      <c r="H484">
        <v>127</v>
      </c>
      <c r="I484">
        <v>5</v>
      </c>
      <c r="J484">
        <v>25</v>
      </c>
      <c r="K484">
        <v>147</v>
      </c>
      <c r="L484">
        <v>62</v>
      </c>
      <c r="M484">
        <v>315</v>
      </c>
      <c r="N484">
        <v>14</v>
      </c>
      <c r="O484">
        <v>6</v>
      </c>
      <c r="P484" t="s">
        <v>24</v>
      </c>
      <c r="Q484">
        <v>38</v>
      </c>
      <c r="R484" s="2">
        <v>46305</v>
      </c>
    </row>
    <row r="485" spans="1:18" x14ac:dyDescent="0.35">
      <c r="A485" t="s">
        <v>18</v>
      </c>
      <c r="B485" t="s">
        <v>19</v>
      </c>
      <c r="C485" t="s">
        <v>20</v>
      </c>
      <c r="D485" t="s">
        <v>37</v>
      </c>
      <c r="E485" t="s">
        <v>46</v>
      </c>
      <c r="F485" t="s">
        <v>23</v>
      </c>
      <c r="G485" s="1">
        <v>45295</v>
      </c>
      <c r="H485">
        <v>269</v>
      </c>
      <c r="I485">
        <v>46</v>
      </c>
      <c r="J485">
        <v>57</v>
      </c>
      <c r="K485">
        <v>280</v>
      </c>
      <c r="L485">
        <v>44</v>
      </c>
      <c r="M485">
        <v>1120</v>
      </c>
      <c r="N485">
        <v>7</v>
      </c>
      <c r="O485">
        <v>1</v>
      </c>
      <c r="P485" t="s">
        <v>24</v>
      </c>
      <c r="Q485">
        <v>12</v>
      </c>
      <c r="R485" s="2">
        <v>313600</v>
      </c>
    </row>
    <row r="486" spans="1:18" x14ac:dyDescent="0.35">
      <c r="A486" t="s">
        <v>41</v>
      </c>
      <c r="B486" t="s">
        <v>42</v>
      </c>
      <c r="C486" t="s">
        <v>20</v>
      </c>
      <c r="D486" t="s">
        <v>21</v>
      </c>
      <c r="E486" t="s">
        <v>22</v>
      </c>
      <c r="F486" t="s">
        <v>23</v>
      </c>
      <c r="G486" s="1">
        <v>45296</v>
      </c>
      <c r="H486">
        <v>214</v>
      </c>
      <c r="I486">
        <v>51</v>
      </c>
      <c r="J486">
        <v>70</v>
      </c>
      <c r="K486">
        <v>233</v>
      </c>
      <c r="L486">
        <v>83</v>
      </c>
      <c r="M486">
        <v>474</v>
      </c>
      <c r="N486">
        <v>9</v>
      </c>
      <c r="O486">
        <v>0</v>
      </c>
      <c r="P486" t="s">
        <v>24</v>
      </c>
      <c r="Q486">
        <v>53</v>
      </c>
      <c r="R486" s="2">
        <v>110442</v>
      </c>
    </row>
    <row r="487" spans="1:18" x14ac:dyDescent="0.35">
      <c r="A487" t="s">
        <v>28</v>
      </c>
      <c r="B487" t="s">
        <v>29</v>
      </c>
      <c r="C487" t="s">
        <v>20</v>
      </c>
      <c r="D487" t="s">
        <v>43</v>
      </c>
      <c r="E487" t="s">
        <v>48</v>
      </c>
      <c r="F487" t="s">
        <v>23</v>
      </c>
      <c r="G487" s="1">
        <v>45297</v>
      </c>
      <c r="H487">
        <v>90</v>
      </c>
      <c r="I487">
        <v>13</v>
      </c>
      <c r="J487">
        <v>0</v>
      </c>
      <c r="K487">
        <v>77</v>
      </c>
      <c r="L487">
        <v>54</v>
      </c>
      <c r="M487">
        <v>1496</v>
      </c>
      <c r="N487">
        <v>7</v>
      </c>
      <c r="O487">
        <v>8</v>
      </c>
      <c r="P487" t="s">
        <v>24</v>
      </c>
      <c r="Q487">
        <v>62</v>
      </c>
      <c r="R487" s="2">
        <v>115192</v>
      </c>
    </row>
    <row r="488" spans="1:18" x14ac:dyDescent="0.35">
      <c r="A488" t="s">
        <v>28</v>
      </c>
      <c r="B488" t="s">
        <v>29</v>
      </c>
      <c r="C488" t="s">
        <v>20</v>
      </c>
      <c r="D488" t="s">
        <v>31</v>
      </c>
      <c r="E488" t="s">
        <v>32</v>
      </c>
      <c r="F488" t="s">
        <v>30</v>
      </c>
      <c r="G488" s="1">
        <v>45298</v>
      </c>
      <c r="H488">
        <v>225</v>
      </c>
      <c r="I488">
        <v>53</v>
      </c>
      <c r="J488">
        <v>16</v>
      </c>
      <c r="K488">
        <v>188</v>
      </c>
      <c r="L488">
        <v>61</v>
      </c>
      <c r="M488">
        <v>1287</v>
      </c>
      <c r="N488">
        <v>2</v>
      </c>
      <c r="O488">
        <v>4</v>
      </c>
      <c r="P488" t="s">
        <v>24</v>
      </c>
      <c r="Q488">
        <v>20</v>
      </c>
      <c r="R488" s="2">
        <v>241956</v>
      </c>
    </row>
    <row r="489" spans="1:18" x14ac:dyDescent="0.35">
      <c r="A489" t="s">
        <v>41</v>
      </c>
      <c r="B489" t="s">
        <v>42</v>
      </c>
      <c r="C489" t="s">
        <v>20</v>
      </c>
      <c r="D489" t="s">
        <v>21</v>
      </c>
      <c r="E489" t="s">
        <v>27</v>
      </c>
      <c r="F489" t="s">
        <v>23</v>
      </c>
      <c r="G489" s="1">
        <v>45299</v>
      </c>
      <c r="H489">
        <v>183</v>
      </c>
      <c r="I489">
        <v>30</v>
      </c>
      <c r="J489">
        <v>1</v>
      </c>
      <c r="K489">
        <v>154</v>
      </c>
      <c r="L489">
        <v>76</v>
      </c>
      <c r="M489">
        <v>189</v>
      </c>
      <c r="N489">
        <v>3</v>
      </c>
      <c r="O489">
        <v>2</v>
      </c>
      <c r="P489" t="s">
        <v>24</v>
      </c>
      <c r="Q489">
        <v>30</v>
      </c>
      <c r="R489" s="2">
        <v>29106</v>
      </c>
    </row>
    <row r="490" spans="1:18" x14ac:dyDescent="0.35">
      <c r="A490" t="s">
        <v>25</v>
      </c>
      <c r="B490" t="s">
        <v>26</v>
      </c>
      <c r="C490" t="s">
        <v>20</v>
      </c>
      <c r="D490" t="s">
        <v>31</v>
      </c>
      <c r="E490" t="s">
        <v>47</v>
      </c>
      <c r="F490" t="s">
        <v>30</v>
      </c>
      <c r="G490" s="1">
        <v>45300</v>
      </c>
      <c r="H490">
        <v>237</v>
      </c>
      <c r="I490">
        <v>23</v>
      </c>
      <c r="J490">
        <v>49</v>
      </c>
      <c r="K490">
        <v>263</v>
      </c>
      <c r="L490">
        <v>73</v>
      </c>
      <c r="M490">
        <v>1380</v>
      </c>
      <c r="N490">
        <v>2</v>
      </c>
      <c r="O490">
        <v>8</v>
      </c>
      <c r="P490" t="s">
        <v>24</v>
      </c>
      <c r="Q490">
        <v>30</v>
      </c>
      <c r="R490" s="2">
        <v>362940</v>
      </c>
    </row>
    <row r="491" spans="1:18" x14ac:dyDescent="0.35">
      <c r="A491" t="s">
        <v>28</v>
      </c>
      <c r="B491" t="s">
        <v>29</v>
      </c>
      <c r="C491" t="s">
        <v>20</v>
      </c>
      <c r="D491" t="s">
        <v>43</v>
      </c>
      <c r="E491" t="s">
        <v>44</v>
      </c>
      <c r="F491" t="s">
        <v>33</v>
      </c>
      <c r="G491" s="1">
        <v>45301</v>
      </c>
      <c r="H491">
        <v>266</v>
      </c>
      <c r="I491">
        <v>54</v>
      </c>
      <c r="J491">
        <v>21</v>
      </c>
      <c r="K491">
        <v>233</v>
      </c>
      <c r="L491">
        <v>94</v>
      </c>
      <c r="M491">
        <v>1060</v>
      </c>
      <c r="N491">
        <v>2</v>
      </c>
      <c r="O491">
        <v>0</v>
      </c>
      <c r="P491" t="s">
        <v>24</v>
      </c>
      <c r="Q491">
        <v>44</v>
      </c>
      <c r="R491" s="2">
        <v>246980</v>
      </c>
    </row>
    <row r="492" spans="1:18" x14ac:dyDescent="0.35">
      <c r="A492" t="s">
        <v>34</v>
      </c>
      <c r="B492" t="s">
        <v>35</v>
      </c>
      <c r="C492" t="s">
        <v>20</v>
      </c>
      <c r="D492" t="s">
        <v>31</v>
      </c>
      <c r="E492" t="s">
        <v>47</v>
      </c>
      <c r="F492" t="s">
        <v>33</v>
      </c>
      <c r="G492" s="1">
        <v>45302</v>
      </c>
      <c r="H492">
        <v>72</v>
      </c>
      <c r="I492">
        <v>44</v>
      </c>
      <c r="J492">
        <v>57</v>
      </c>
      <c r="K492">
        <v>85</v>
      </c>
      <c r="L492">
        <v>77</v>
      </c>
      <c r="M492">
        <v>52</v>
      </c>
      <c r="N492">
        <v>15</v>
      </c>
      <c r="O492">
        <v>5</v>
      </c>
      <c r="P492" t="s">
        <v>24</v>
      </c>
      <c r="Q492">
        <v>61</v>
      </c>
      <c r="R492" s="2">
        <v>4420</v>
      </c>
    </row>
    <row r="493" spans="1:18" x14ac:dyDescent="0.35">
      <c r="A493" t="s">
        <v>34</v>
      </c>
      <c r="B493" t="s">
        <v>35</v>
      </c>
      <c r="C493" t="s">
        <v>20</v>
      </c>
      <c r="D493" t="s">
        <v>21</v>
      </c>
      <c r="E493" t="s">
        <v>22</v>
      </c>
      <c r="F493" t="s">
        <v>23</v>
      </c>
      <c r="G493" s="1">
        <v>45303</v>
      </c>
      <c r="H493">
        <v>274</v>
      </c>
      <c r="I493">
        <v>44</v>
      </c>
      <c r="J493">
        <v>8</v>
      </c>
      <c r="K493">
        <v>238</v>
      </c>
      <c r="L493">
        <v>68</v>
      </c>
      <c r="M493">
        <v>344</v>
      </c>
      <c r="N493">
        <v>5</v>
      </c>
      <c r="O493">
        <v>3</v>
      </c>
      <c r="P493" t="s">
        <v>24</v>
      </c>
      <c r="Q493">
        <v>15</v>
      </c>
      <c r="R493" s="2">
        <v>81872</v>
      </c>
    </row>
    <row r="494" spans="1:18" x14ac:dyDescent="0.35">
      <c r="A494" t="s">
        <v>25</v>
      </c>
      <c r="B494" t="s">
        <v>26</v>
      </c>
      <c r="C494" t="s">
        <v>20</v>
      </c>
      <c r="D494" t="s">
        <v>39</v>
      </c>
      <c r="E494" t="s">
        <v>40</v>
      </c>
      <c r="F494" t="s">
        <v>23</v>
      </c>
      <c r="G494" s="1">
        <v>45304</v>
      </c>
      <c r="H494">
        <v>225</v>
      </c>
      <c r="I494">
        <v>16</v>
      </c>
      <c r="J494">
        <v>30</v>
      </c>
      <c r="K494">
        <v>239</v>
      </c>
      <c r="L494">
        <v>48</v>
      </c>
      <c r="M494">
        <v>1103</v>
      </c>
      <c r="N494">
        <v>4</v>
      </c>
      <c r="O494">
        <v>9</v>
      </c>
      <c r="P494" t="s">
        <v>24</v>
      </c>
      <c r="Q494">
        <v>13</v>
      </c>
      <c r="R494" s="2">
        <v>263617</v>
      </c>
    </row>
    <row r="495" spans="1:18" x14ac:dyDescent="0.35">
      <c r="A495" t="s">
        <v>25</v>
      </c>
      <c r="B495" t="s">
        <v>26</v>
      </c>
      <c r="C495" t="s">
        <v>20</v>
      </c>
      <c r="D495" t="s">
        <v>39</v>
      </c>
      <c r="E495" t="s">
        <v>45</v>
      </c>
      <c r="F495" t="s">
        <v>30</v>
      </c>
      <c r="G495" s="1">
        <v>45305</v>
      </c>
      <c r="H495">
        <v>122</v>
      </c>
      <c r="I495">
        <v>39</v>
      </c>
      <c r="J495">
        <v>7</v>
      </c>
      <c r="K495">
        <v>90</v>
      </c>
      <c r="L495">
        <v>60</v>
      </c>
      <c r="M495">
        <v>1236</v>
      </c>
      <c r="N495">
        <v>10</v>
      </c>
      <c r="O495">
        <v>5</v>
      </c>
      <c r="P495" t="s">
        <v>24</v>
      </c>
      <c r="Q495">
        <v>37</v>
      </c>
      <c r="R495" s="2">
        <v>111240</v>
      </c>
    </row>
    <row r="496" spans="1:18" x14ac:dyDescent="0.35">
      <c r="A496" t="s">
        <v>34</v>
      </c>
      <c r="B496" t="s">
        <v>35</v>
      </c>
      <c r="C496" t="s">
        <v>20</v>
      </c>
      <c r="D496" t="s">
        <v>43</v>
      </c>
      <c r="E496" t="s">
        <v>44</v>
      </c>
      <c r="F496" t="s">
        <v>30</v>
      </c>
      <c r="G496" s="1">
        <v>45306</v>
      </c>
      <c r="H496">
        <v>150</v>
      </c>
      <c r="I496">
        <v>24</v>
      </c>
      <c r="J496">
        <v>47</v>
      </c>
      <c r="K496">
        <v>173</v>
      </c>
      <c r="L496">
        <v>59</v>
      </c>
      <c r="M496">
        <v>1184</v>
      </c>
      <c r="N496">
        <v>11</v>
      </c>
      <c r="O496">
        <v>0</v>
      </c>
      <c r="P496" t="s">
        <v>24</v>
      </c>
      <c r="Q496">
        <v>62</v>
      </c>
      <c r="R496" s="2">
        <v>204832</v>
      </c>
    </row>
    <row r="497" spans="1:18" x14ac:dyDescent="0.35">
      <c r="A497" t="s">
        <v>18</v>
      </c>
      <c r="B497" t="s">
        <v>19</v>
      </c>
      <c r="C497" t="s">
        <v>20</v>
      </c>
      <c r="D497" t="s">
        <v>43</v>
      </c>
      <c r="E497" t="s">
        <v>48</v>
      </c>
      <c r="F497" t="s">
        <v>30</v>
      </c>
      <c r="G497" s="1">
        <v>45307</v>
      </c>
      <c r="H497">
        <v>266</v>
      </c>
      <c r="I497">
        <v>17</v>
      </c>
      <c r="J497">
        <v>49</v>
      </c>
      <c r="K497">
        <v>298</v>
      </c>
      <c r="L497">
        <v>98</v>
      </c>
      <c r="M497">
        <v>1038</v>
      </c>
      <c r="N497">
        <v>13</v>
      </c>
      <c r="O497">
        <v>3</v>
      </c>
      <c r="P497" t="s">
        <v>24</v>
      </c>
      <c r="Q497">
        <v>29</v>
      </c>
      <c r="R497" s="2">
        <v>309324</v>
      </c>
    </row>
    <row r="498" spans="1:18" x14ac:dyDescent="0.35">
      <c r="A498" t="s">
        <v>28</v>
      </c>
      <c r="B498" t="s">
        <v>29</v>
      </c>
      <c r="C498" t="s">
        <v>20</v>
      </c>
      <c r="D498" t="s">
        <v>31</v>
      </c>
      <c r="E498" t="s">
        <v>47</v>
      </c>
      <c r="F498" t="s">
        <v>23</v>
      </c>
      <c r="G498" s="1">
        <v>45308</v>
      </c>
      <c r="H498">
        <v>135</v>
      </c>
      <c r="I498">
        <v>41</v>
      </c>
      <c r="J498">
        <v>50</v>
      </c>
      <c r="K498">
        <v>144</v>
      </c>
      <c r="L498">
        <v>51</v>
      </c>
      <c r="M498">
        <v>107</v>
      </c>
      <c r="N498">
        <v>3</v>
      </c>
      <c r="O498">
        <v>1</v>
      </c>
      <c r="P498" t="s">
        <v>24</v>
      </c>
      <c r="Q498">
        <v>63</v>
      </c>
      <c r="R498" s="2">
        <v>15408</v>
      </c>
    </row>
    <row r="499" spans="1:18" x14ac:dyDescent="0.35">
      <c r="A499" t="s">
        <v>34</v>
      </c>
      <c r="B499" t="s">
        <v>35</v>
      </c>
      <c r="C499" t="s">
        <v>20</v>
      </c>
      <c r="D499" t="s">
        <v>21</v>
      </c>
      <c r="E499" t="s">
        <v>27</v>
      </c>
      <c r="F499" t="s">
        <v>30</v>
      </c>
      <c r="G499" s="1">
        <v>45309</v>
      </c>
      <c r="H499">
        <v>299</v>
      </c>
      <c r="I499">
        <v>57</v>
      </c>
      <c r="J499">
        <v>35</v>
      </c>
      <c r="K499">
        <v>277</v>
      </c>
      <c r="L499">
        <v>45</v>
      </c>
      <c r="M499">
        <v>174</v>
      </c>
      <c r="N499">
        <v>7</v>
      </c>
      <c r="O499">
        <v>5</v>
      </c>
      <c r="P499" t="s">
        <v>24</v>
      </c>
      <c r="Q499">
        <v>49</v>
      </c>
      <c r="R499" s="2">
        <v>48198</v>
      </c>
    </row>
    <row r="500" spans="1:18" x14ac:dyDescent="0.35">
      <c r="A500" t="s">
        <v>25</v>
      </c>
      <c r="B500" t="s">
        <v>26</v>
      </c>
      <c r="C500" t="s">
        <v>20</v>
      </c>
      <c r="D500" t="s">
        <v>21</v>
      </c>
      <c r="E500" t="s">
        <v>27</v>
      </c>
      <c r="F500" t="s">
        <v>23</v>
      </c>
      <c r="G500" s="1">
        <v>45310</v>
      </c>
      <c r="H500">
        <v>255</v>
      </c>
      <c r="I500">
        <v>22</v>
      </c>
      <c r="J500">
        <v>22</v>
      </c>
      <c r="K500">
        <v>255</v>
      </c>
      <c r="L500">
        <v>42</v>
      </c>
      <c r="M500">
        <v>638</v>
      </c>
      <c r="N500">
        <v>3</v>
      </c>
      <c r="O500">
        <v>2</v>
      </c>
      <c r="P500" t="s">
        <v>24</v>
      </c>
      <c r="Q500">
        <v>16</v>
      </c>
      <c r="R500" s="2">
        <v>162690</v>
      </c>
    </row>
    <row r="501" spans="1:18" x14ac:dyDescent="0.35">
      <c r="A501" t="s">
        <v>28</v>
      </c>
      <c r="B501" t="s">
        <v>29</v>
      </c>
      <c r="C501" t="s">
        <v>20</v>
      </c>
      <c r="D501" t="s">
        <v>43</v>
      </c>
      <c r="E501" t="s">
        <v>48</v>
      </c>
      <c r="F501" t="s">
        <v>33</v>
      </c>
      <c r="G501" s="1">
        <v>45311</v>
      </c>
      <c r="H501">
        <v>173</v>
      </c>
      <c r="I501">
        <v>55</v>
      </c>
      <c r="J501">
        <v>40</v>
      </c>
      <c r="K501">
        <v>158</v>
      </c>
      <c r="L501">
        <v>93</v>
      </c>
      <c r="M501">
        <v>442</v>
      </c>
      <c r="N501">
        <v>9</v>
      </c>
      <c r="O501">
        <v>8</v>
      </c>
      <c r="P501" t="s">
        <v>24</v>
      </c>
      <c r="Q501">
        <v>10</v>
      </c>
      <c r="R501" s="2">
        <v>69836</v>
      </c>
    </row>
  </sheetData>
  <autoFilter ref="A1:R501" xr:uid="{00000000-0009-0000-0000-000001000000}"/>
  <pageMargins left="0.7" right="0.7" top="0.75" bottom="0.75" header="0.3" footer="0.3"/>
  <pageSetup paperSize="155" orientation="portrait" horizontalDpi="203" verticalDpi="20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26F136-2982-4DB3-AE83-21E2ED5794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supply_chain_data</vt:lpstr>
      <vt:lpstr>raw_supply_chain_data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Thida</dc:creator>
  <cp:lastModifiedBy>User</cp:lastModifiedBy>
  <dcterms:created xsi:type="dcterms:W3CDTF">2026-04-19T11:37:23Z</dcterms:created>
  <dcterms:modified xsi:type="dcterms:W3CDTF">2026-04-26T09:10:11Z</dcterms:modified>
</cp:coreProperties>
</file>